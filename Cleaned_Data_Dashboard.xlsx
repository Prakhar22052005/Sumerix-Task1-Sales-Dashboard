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AA3D294C-5939-4D06-AB7C-8E6308E34BC4}" xr6:coauthVersionLast="47" xr6:coauthVersionMax="47" xr10:uidLastSave="{00000000-0000-0000-0000-000000000000}"/>
  <bookViews>
    <workbookView xWindow="-108" yWindow="-108" windowWidth="23256" windowHeight="12456" activeTab="2" xr2:uid="{BE9FEF04-34FE-4531-A967-362D8279BD3A}"/>
  </bookViews>
  <sheets>
    <sheet name="Cleaned_Data" sheetId="4" r:id="rId1"/>
    <sheet name="Pivot" sheetId="2" r:id="rId2"/>
    <sheet name="Dashboard" sheetId="3" r:id="rId3"/>
  </sheets>
  <definedNames>
    <definedName name="slcCategory">#N/A</definedName>
    <definedName name="slcMonth">#N/A</definedName>
    <definedName name="slc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200" i="3" l="1"/>
  <c r="D200" i="3"/>
  <c r="C200" i="3"/>
  <c r="B200" i="3"/>
  <c r="A200" i="3"/>
</calcChain>
</file>

<file path=xl/sharedStrings.xml><?xml version="1.0" encoding="utf-8"?>
<sst xmlns="http://schemas.openxmlformats.org/spreadsheetml/2006/main" count="6575" uniqueCount="1584">
  <si>
    <t>Date</t>
  </si>
  <si>
    <t>Month</t>
  </si>
  <si>
    <t>Order ID</t>
  </si>
  <si>
    <t>Region</t>
  </si>
  <si>
    <t>State</t>
  </si>
  <si>
    <t>City</t>
  </si>
  <si>
    <t>Sales Manager</t>
  </si>
  <si>
    <t>Salesperson</t>
  </si>
  <si>
    <t>Channel</t>
  </si>
  <si>
    <t>Customer Segment</t>
  </si>
  <si>
    <t>Product Category</t>
  </si>
  <si>
    <t>Product Name</t>
  </si>
  <si>
    <t>Units Sold</t>
  </si>
  <si>
    <t>Unit Price</t>
  </si>
  <si>
    <t>Sales Amount</t>
  </si>
  <si>
    <t>Target Sales</t>
  </si>
  <si>
    <t>Lead ID</t>
  </si>
  <si>
    <t>_Year_</t>
  </si>
  <si>
    <t>2026-01-01</t>
  </si>
  <si>
    <t>Jan</t>
  </si>
  <si>
    <t>ORD0001</t>
  </si>
  <si>
    <t>South</t>
  </si>
  <si>
    <t>Gujarat</t>
  </si>
  <si>
    <t>Kolkata</t>
  </si>
  <si>
    <t>Manager_1</t>
  </si>
  <si>
    <t>Sales_14</t>
  </si>
  <si>
    <t>Retail Store</t>
  </si>
  <si>
    <t>Corporate</t>
  </si>
  <si>
    <t>Furniture</t>
  </si>
  <si>
    <t>Headphones</t>
  </si>
  <si>
    <t>LEAD2301</t>
  </si>
  <si>
    <t>2026-01-02</t>
  </si>
  <si>
    <t>ORD0002</t>
  </si>
  <si>
    <t>West</t>
  </si>
  <si>
    <t>Chennai</t>
  </si>
  <si>
    <t>Manager_5</t>
  </si>
  <si>
    <t>Sales_19</t>
  </si>
  <si>
    <t>Amazon</t>
  </si>
  <si>
    <t>Clothing</t>
  </si>
  <si>
    <t>Shirt</t>
  </si>
  <si>
    <t>LEAD2508</t>
  </si>
  <si>
    <t>2026-01-03</t>
  </si>
  <si>
    <t>ORD0003</t>
  </si>
  <si>
    <t>East</t>
  </si>
  <si>
    <t>Delhi</t>
  </si>
  <si>
    <t>Website</t>
  </si>
  <si>
    <t>LEAD1740</t>
  </si>
  <si>
    <t>2026-01-04</t>
  </si>
  <si>
    <t>ORD0004</t>
  </si>
  <si>
    <t>Tamil Nadu</t>
  </si>
  <si>
    <t>Ahmedabad</t>
  </si>
  <si>
    <t>Sales_26</t>
  </si>
  <si>
    <t>Wholesale</t>
  </si>
  <si>
    <t>Chair</t>
  </si>
  <si>
    <t>LEAD3348</t>
  </si>
  <si>
    <t>2026-01-05</t>
  </si>
  <si>
    <t>ORD0005</t>
  </si>
  <si>
    <t>Karnataka</t>
  </si>
  <si>
    <t>Sales_8</t>
  </si>
  <si>
    <t>Retail</t>
  </si>
  <si>
    <t>Laptop</t>
  </si>
  <si>
    <t>LEAD4396</t>
  </si>
  <si>
    <t>2026-01-06</t>
  </si>
  <si>
    <t>ORD0006</t>
  </si>
  <si>
    <t>North</t>
  </si>
  <si>
    <t>Sales_1</t>
  </si>
  <si>
    <t>Phone</t>
  </si>
  <si>
    <t>LEAD4248</t>
  </si>
  <si>
    <t>2026-01-07</t>
  </si>
  <si>
    <t>ORD0007</t>
  </si>
  <si>
    <t>Sales_13</t>
  </si>
  <si>
    <t>Electronics</t>
  </si>
  <si>
    <t>LEAD4746</t>
  </si>
  <si>
    <t>2026-01-08</t>
  </si>
  <si>
    <t>ORD0008</t>
  </si>
  <si>
    <t>Bangalore</t>
  </si>
  <si>
    <t>Sales_29</t>
  </si>
  <si>
    <t>WhatsApp</t>
  </si>
  <si>
    <t>Accessories</t>
  </si>
  <si>
    <t>LEAD3589</t>
  </si>
  <si>
    <t>2026-01-09</t>
  </si>
  <si>
    <t>ORD0009</t>
  </si>
  <si>
    <t>West Bengal</t>
  </si>
  <si>
    <t>Manager_2</t>
  </si>
  <si>
    <t>Sales_2</t>
  </si>
  <si>
    <t>Shoes</t>
  </si>
  <si>
    <t>LEAD3309</t>
  </si>
  <si>
    <t>2026-01-10</t>
  </si>
  <si>
    <t>ORD0010</t>
  </si>
  <si>
    <t>Manager_6</t>
  </si>
  <si>
    <t>LEAD3284</t>
  </si>
  <si>
    <t>2026-01-11</t>
  </si>
  <si>
    <t>ORD0011</t>
  </si>
  <si>
    <t>LEAD3827</t>
  </si>
  <si>
    <t>2026-01-12</t>
  </si>
  <si>
    <t>ORD0012</t>
  </si>
  <si>
    <t>Mumbai</t>
  </si>
  <si>
    <t>Manager_3</t>
  </si>
  <si>
    <t>Sales_6</t>
  </si>
  <si>
    <t>LEAD1522</t>
  </si>
  <si>
    <t>2026-01-13</t>
  </si>
  <si>
    <t>ORD0013</t>
  </si>
  <si>
    <t>Manager_7</t>
  </si>
  <si>
    <t>Sales_25</t>
  </si>
  <si>
    <t>LEAD1529</t>
  </si>
  <si>
    <t>2026-01-14</t>
  </si>
  <si>
    <t>ORD0014</t>
  </si>
  <si>
    <t>Sales_28</t>
  </si>
  <si>
    <t>LEAD2806</t>
  </si>
  <si>
    <t>2026-01-15</t>
  </si>
  <si>
    <t>ORD0015</t>
  </si>
  <si>
    <t>Maharashtra</t>
  </si>
  <si>
    <t>Manager_4</t>
  </si>
  <si>
    <t>LEAD3426</t>
  </si>
  <si>
    <t>2026-01-16</t>
  </si>
  <si>
    <t>ORD0016</t>
  </si>
  <si>
    <t>Manager_8</t>
  </si>
  <si>
    <t>Watch</t>
  </si>
  <si>
    <t>LEAD1355</t>
  </si>
  <si>
    <t>2026-01-17</t>
  </si>
  <si>
    <t>ORD0017</t>
  </si>
  <si>
    <t>Sales_18</t>
  </si>
  <si>
    <t>LEAD3372</t>
  </si>
  <si>
    <t>2026-01-18</t>
  </si>
  <si>
    <t>ORD0018</t>
  </si>
  <si>
    <t>Table</t>
  </si>
  <si>
    <t>LEAD3578</t>
  </si>
  <si>
    <t>2026-01-19</t>
  </si>
  <si>
    <t>ORD0019</t>
  </si>
  <si>
    <t>Sales_7</t>
  </si>
  <si>
    <t>LEAD3727</t>
  </si>
  <si>
    <t>2026-01-20</t>
  </si>
  <si>
    <t>ORD0020</t>
  </si>
  <si>
    <t>LEAD2861</t>
  </si>
  <si>
    <t>2026-01-21</t>
  </si>
  <si>
    <t>ORD0021</t>
  </si>
  <si>
    <t>LEAD2311</t>
  </si>
  <si>
    <t>2026-01-22</t>
  </si>
  <si>
    <t>ORD0022</t>
  </si>
  <si>
    <t>Sales_22</t>
  </si>
  <si>
    <t>LEAD3365</t>
  </si>
  <si>
    <t>2026-01-23</t>
  </si>
  <si>
    <t>ORD0023</t>
  </si>
  <si>
    <t>Sales_15</t>
  </si>
  <si>
    <t>LEAD3165</t>
  </si>
  <si>
    <t>2026-01-24</t>
  </si>
  <si>
    <t>ORD0024</t>
  </si>
  <si>
    <t>Sales_17</t>
  </si>
  <si>
    <t>LEAD2419</t>
  </si>
  <si>
    <t>2026-01-25</t>
  </si>
  <si>
    <t>ORD0025</t>
  </si>
  <si>
    <t>LEAD3630</t>
  </si>
  <si>
    <t>2026-01-26</t>
  </si>
  <si>
    <t>ORD0026</t>
  </si>
  <si>
    <t>Sales_24</t>
  </si>
  <si>
    <t>LEAD1132</t>
  </si>
  <si>
    <t>2026-01-27</t>
  </si>
  <si>
    <t>ORD0027</t>
  </si>
  <si>
    <t>LEAD1890</t>
  </si>
  <si>
    <t>2026-01-28</t>
  </si>
  <si>
    <t>ORD0028</t>
  </si>
  <si>
    <t>LEAD1939</t>
  </si>
  <si>
    <t>2026-01-29</t>
  </si>
  <si>
    <t>ORD0029</t>
  </si>
  <si>
    <t>LEAD1462</t>
  </si>
  <si>
    <t>2026-01-30</t>
  </si>
  <si>
    <t>ORD0030</t>
  </si>
  <si>
    <t>LEAD3444</t>
  </si>
  <si>
    <t>2026-01-31</t>
  </si>
  <si>
    <t>ORD0031</t>
  </si>
  <si>
    <t>LEAD3899</t>
  </si>
  <si>
    <t>2026-02-01</t>
  </si>
  <si>
    <t>Feb</t>
  </si>
  <si>
    <t>ORD0032</t>
  </si>
  <si>
    <t>LEAD4372</t>
  </si>
  <si>
    <t>2026-02-02</t>
  </si>
  <si>
    <t>ORD0033</t>
  </si>
  <si>
    <t>Sales_3</t>
  </si>
  <si>
    <t>LEAD2608</t>
  </si>
  <si>
    <t>2026-02-03</t>
  </si>
  <si>
    <t>ORD0034</t>
  </si>
  <si>
    <t>LEAD4267</t>
  </si>
  <si>
    <t>2026-02-04</t>
  </si>
  <si>
    <t>ORD0035</t>
  </si>
  <si>
    <t>Sales_21</t>
  </si>
  <si>
    <t>LEAD4147</t>
  </si>
  <si>
    <t>2026-02-05</t>
  </si>
  <si>
    <t>ORD0036</t>
  </si>
  <si>
    <t>LEAD3480</t>
  </si>
  <si>
    <t>2026-02-06</t>
  </si>
  <si>
    <t>ORD0037</t>
  </si>
  <si>
    <t>LEAD4544</t>
  </si>
  <si>
    <t>2026-02-07</t>
  </si>
  <si>
    <t>ORD0038</t>
  </si>
  <si>
    <t>LEAD2885</t>
  </si>
  <si>
    <t>2026-02-08</t>
  </si>
  <si>
    <t>ORD0039</t>
  </si>
  <si>
    <t>LEAD3844</t>
  </si>
  <si>
    <t>2026-02-09</t>
  </si>
  <si>
    <t>ORD0040</t>
  </si>
  <si>
    <t>Sales_16</t>
  </si>
  <si>
    <t>LEAD4766</t>
  </si>
  <si>
    <t>2026-02-10</t>
  </si>
  <si>
    <t>ORD0041</t>
  </si>
  <si>
    <t>Sales_5</t>
  </si>
  <si>
    <t>LEAD4058</t>
  </si>
  <si>
    <t>2026-02-11</t>
  </si>
  <si>
    <t>ORD0042</t>
  </si>
  <si>
    <t>LEAD4559</t>
  </si>
  <si>
    <t>2026-02-12</t>
  </si>
  <si>
    <t>ORD0043</t>
  </si>
  <si>
    <t>Sales_23</t>
  </si>
  <si>
    <t>LEAD2404</t>
  </si>
  <si>
    <t>2026-02-13</t>
  </si>
  <si>
    <t>ORD0044</t>
  </si>
  <si>
    <t>LEAD2659</t>
  </si>
  <si>
    <t>2026-02-14</t>
  </si>
  <si>
    <t>ORD0045</t>
  </si>
  <si>
    <t>Sales_4</t>
  </si>
  <si>
    <t>LEAD1176</t>
  </si>
  <si>
    <t>2026-02-15</t>
  </si>
  <si>
    <t>ORD0046</t>
  </si>
  <si>
    <t>LEAD1103</t>
  </si>
  <si>
    <t>2026-02-16</t>
  </si>
  <si>
    <t>ORD0047</t>
  </si>
  <si>
    <t>LEAD2918</t>
  </si>
  <si>
    <t>2026-02-17</t>
  </si>
  <si>
    <t>ORD0048</t>
  </si>
  <si>
    <t>Sales_20</t>
  </si>
  <si>
    <t>LEAD3668</t>
  </si>
  <si>
    <t>2026-02-18</t>
  </si>
  <si>
    <t>ORD0049</t>
  </si>
  <si>
    <t>Sales_30</t>
  </si>
  <si>
    <t>LEAD2924</t>
  </si>
  <si>
    <t>2026-02-19</t>
  </si>
  <si>
    <t>ORD0050</t>
  </si>
  <si>
    <t>LEAD3148</t>
  </si>
  <si>
    <t>2026-02-20</t>
  </si>
  <si>
    <t>ORD0051</t>
  </si>
  <si>
    <t>LEAD1648</t>
  </si>
  <si>
    <t>2026-02-21</t>
  </si>
  <si>
    <t>ORD0052</t>
  </si>
  <si>
    <t>LEAD4844</t>
  </si>
  <si>
    <t>2026-02-22</t>
  </si>
  <si>
    <t>ORD0053</t>
  </si>
  <si>
    <t>LEAD1677</t>
  </si>
  <si>
    <t>2026-02-23</t>
  </si>
  <si>
    <t>ORD0054</t>
  </si>
  <si>
    <t>LEAD3809</t>
  </si>
  <si>
    <t>2026-02-24</t>
  </si>
  <si>
    <t>ORD0055</t>
  </si>
  <si>
    <t>LEAD1796</t>
  </si>
  <si>
    <t>2026-02-25</t>
  </si>
  <si>
    <t>ORD0056</t>
  </si>
  <si>
    <t>LEAD3646</t>
  </si>
  <si>
    <t>2026-02-26</t>
  </si>
  <si>
    <t>ORD0057</t>
  </si>
  <si>
    <t>LEAD2910</t>
  </si>
  <si>
    <t>2026-02-27</t>
  </si>
  <si>
    <t>ORD0058</t>
  </si>
  <si>
    <t>LEAD1627</t>
  </si>
  <si>
    <t>2026-02-28</t>
  </si>
  <si>
    <t>ORD0059</t>
  </si>
  <si>
    <t>LEAD1934</t>
  </si>
  <si>
    <t>2026-03-01</t>
  </si>
  <si>
    <t>Mar</t>
  </si>
  <si>
    <t>ORD0060</t>
  </si>
  <si>
    <t>LEAD4686</t>
  </si>
  <si>
    <t>2026-03-02</t>
  </si>
  <si>
    <t>ORD0061</t>
  </si>
  <si>
    <t>LEAD2879</t>
  </si>
  <si>
    <t>2026-03-03</t>
  </si>
  <si>
    <t>ORD0062</t>
  </si>
  <si>
    <t>LEAD2267</t>
  </si>
  <si>
    <t>2026-03-04</t>
  </si>
  <si>
    <t>ORD0063</t>
  </si>
  <si>
    <t>LEAD3807</t>
  </si>
  <si>
    <t>2026-03-05</t>
  </si>
  <si>
    <t>ORD0064</t>
  </si>
  <si>
    <t>Sales_11</t>
  </si>
  <si>
    <t>LEAD3761</t>
  </si>
  <si>
    <t>2026-03-06</t>
  </si>
  <si>
    <t>ORD0065</t>
  </si>
  <si>
    <t>LEAD1516</t>
  </si>
  <si>
    <t>2026-03-07</t>
  </si>
  <si>
    <t>ORD0066</t>
  </si>
  <si>
    <t>LEAD4300</t>
  </si>
  <si>
    <t>2026-03-08</t>
  </si>
  <si>
    <t>ORD0067</t>
  </si>
  <si>
    <t>LEAD3627</t>
  </si>
  <si>
    <t>2026-03-09</t>
  </si>
  <si>
    <t>ORD0068</t>
  </si>
  <si>
    <t>LEAD4740</t>
  </si>
  <si>
    <t>2026-03-10</t>
  </si>
  <si>
    <t>ORD0069</t>
  </si>
  <si>
    <t>LEAD3593</t>
  </si>
  <si>
    <t>2026-03-11</t>
  </si>
  <si>
    <t>ORD0070</t>
  </si>
  <si>
    <t>Sales_27</t>
  </si>
  <si>
    <t>LEAD4153</t>
  </si>
  <si>
    <t>2026-03-12</t>
  </si>
  <si>
    <t>ORD0071</t>
  </si>
  <si>
    <t>Sales_9</t>
  </si>
  <si>
    <t>LEAD3721</t>
  </si>
  <si>
    <t>2026-03-13</t>
  </si>
  <si>
    <t>ORD0072</t>
  </si>
  <si>
    <t>LEAD2599</t>
  </si>
  <si>
    <t>2026-03-14</t>
  </si>
  <si>
    <t>ORD0073</t>
  </si>
  <si>
    <t>Sales_10</t>
  </si>
  <si>
    <t>LEAD3465</t>
  </si>
  <si>
    <t>2026-03-15</t>
  </si>
  <si>
    <t>ORD0074</t>
  </si>
  <si>
    <t>LEAD2503</t>
  </si>
  <si>
    <t>2026-03-16</t>
  </si>
  <si>
    <t>ORD0075</t>
  </si>
  <si>
    <t>LEAD1459</t>
  </si>
  <si>
    <t>2026-03-17</t>
  </si>
  <si>
    <t>ORD0076</t>
  </si>
  <si>
    <t>2026-03-18</t>
  </si>
  <si>
    <t>ORD0077</t>
  </si>
  <si>
    <t>LEAD1487</t>
  </si>
  <si>
    <t>2026-03-19</t>
  </si>
  <si>
    <t>ORD0078</t>
  </si>
  <si>
    <t>LEAD1337</t>
  </si>
  <si>
    <t>2026-03-20</t>
  </si>
  <si>
    <t>ORD0079</t>
  </si>
  <si>
    <t>LEAD4943</t>
  </si>
  <si>
    <t>2026-03-21</t>
  </si>
  <si>
    <t>ORD0080</t>
  </si>
  <si>
    <t>LEAD2694</t>
  </si>
  <si>
    <t>2026-03-22</t>
  </si>
  <si>
    <t>ORD0081</t>
  </si>
  <si>
    <t>LEAD1871</t>
  </si>
  <si>
    <t>2026-03-23</t>
  </si>
  <si>
    <t>ORD0082</t>
  </si>
  <si>
    <t>LEAD3221</t>
  </si>
  <si>
    <t>2026-03-24</t>
  </si>
  <si>
    <t>ORD0083</t>
  </si>
  <si>
    <t>LEAD3631</t>
  </si>
  <si>
    <t>2026-03-25</t>
  </si>
  <si>
    <t>ORD0084</t>
  </si>
  <si>
    <t>LEAD1385</t>
  </si>
  <si>
    <t>2026-03-26</t>
  </si>
  <si>
    <t>ORD0085</t>
  </si>
  <si>
    <t>LEAD3673</t>
  </si>
  <si>
    <t>2026-03-27</t>
  </si>
  <si>
    <t>ORD0086</t>
  </si>
  <si>
    <t>LEAD1060</t>
  </si>
  <si>
    <t>2026-03-28</t>
  </si>
  <si>
    <t>ORD0087</t>
  </si>
  <si>
    <t>LEAD3357</t>
  </si>
  <si>
    <t>2026-03-29</t>
  </si>
  <si>
    <t>ORD0088</t>
  </si>
  <si>
    <t>LEAD4231</t>
  </si>
  <si>
    <t>2026-03-30</t>
  </si>
  <si>
    <t>ORD0089</t>
  </si>
  <si>
    <t>LEAD1870</t>
  </si>
  <si>
    <t>2026-03-31</t>
  </si>
  <si>
    <t>ORD0090</t>
  </si>
  <si>
    <t>LEAD3864</t>
  </si>
  <si>
    <t>2026-04-01</t>
  </si>
  <si>
    <t>Apr</t>
  </si>
  <si>
    <t>ORD0091</t>
  </si>
  <si>
    <t>LEAD3849</t>
  </si>
  <si>
    <t>2026-04-02</t>
  </si>
  <si>
    <t>ORD0092</t>
  </si>
  <si>
    <t>LEAD1203</t>
  </si>
  <si>
    <t>2026-04-03</t>
  </si>
  <si>
    <t>ORD0093</t>
  </si>
  <si>
    <t>LEAD3574</t>
  </si>
  <si>
    <t>2026-04-04</t>
  </si>
  <si>
    <t>ORD0094</t>
  </si>
  <si>
    <t>LEAD1679</t>
  </si>
  <si>
    <t>2026-04-05</t>
  </si>
  <si>
    <t>ORD0095</t>
  </si>
  <si>
    <t>Sales_12</t>
  </si>
  <si>
    <t>LEAD4617</t>
  </si>
  <si>
    <t>2026-04-06</t>
  </si>
  <si>
    <t>ORD0096</t>
  </si>
  <si>
    <t>LEAD4071</t>
  </si>
  <si>
    <t>2026-04-07</t>
  </si>
  <si>
    <t>ORD0097</t>
  </si>
  <si>
    <t>LEAD4095</t>
  </si>
  <si>
    <t>2026-04-08</t>
  </si>
  <si>
    <t>ORD0098</t>
  </si>
  <si>
    <t>LEAD3315</t>
  </si>
  <si>
    <t>2026-04-09</t>
  </si>
  <si>
    <t>ORD0099</t>
  </si>
  <si>
    <t>LEAD4127</t>
  </si>
  <si>
    <t>2026-04-10</t>
  </si>
  <si>
    <t>ORD0100</t>
  </si>
  <si>
    <t>LEAD1290</t>
  </si>
  <si>
    <t>2026-04-11</t>
  </si>
  <si>
    <t>ORD0101</t>
  </si>
  <si>
    <t>LEAD1082</t>
  </si>
  <si>
    <t>2026-04-12</t>
  </si>
  <si>
    <t>ORD0102</t>
  </si>
  <si>
    <t>LEAD1933</t>
  </si>
  <si>
    <t>2026-04-13</t>
  </si>
  <si>
    <t>ORD0103</t>
  </si>
  <si>
    <t>LEAD1285</t>
  </si>
  <si>
    <t>2026-04-14</t>
  </si>
  <si>
    <t>ORD0104</t>
  </si>
  <si>
    <t>LEAD4179</t>
  </si>
  <si>
    <t>2026-04-15</t>
  </si>
  <si>
    <t>ORD0105</t>
  </si>
  <si>
    <t>LEAD2775</t>
  </si>
  <si>
    <t>2026-04-16</t>
  </si>
  <si>
    <t>ORD0106</t>
  </si>
  <si>
    <t>LEAD4689</t>
  </si>
  <si>
    <t>2026-04-17</t>
  </si>
  <si>
    <t>ORD0107</t>
  </si>
  <si>
    <t>LEAD1190</t>
  </si>
  <si>
    <t>2026-04-18</t>
  </si>
  <si>
    <t>ORD0108</t>
  </si>
  <si>
    <t>LEAD1046</t>
  </si>
  <si>
    <t>2026-04-19</t>
  </si>
  <si>
    <t>ORD0109</t>
  </si>
  <si>
    <t>LEAD2456</t>
  </si>
  <si>
    <t>2026-04-20</t>
  </si>
  <si>
    <t>ORD0110</t>
  </si>
  <si>
    <t>LEAD1366</t>
  </si>
  <si>
    <t>2026-04-21</t>
  </si>
  <si>
    <t>ORD0111</t>
  </si>
  <si>
    <t>LEAD4086</t>
  </si>
  <si>
    <t>2026-04-22</t>
  </si>
  <si>
    <t>ORD0112</t>
  </si>
  <si>
    <t>LEAD1159</t>
  </si>
  <si>
    <t>2026-04-23</t>
  </si>
  <si>
    <t>ORD0113</t>
  </si>
  <si>
    <t>LEAD4279</t>
  </si>
  <si>
    <t>2026-04-24</t>
  </si>
  <si>
    <t>ORD0114</t>
  </si>
  <si>
    <t>LEAD2286</t>
  </si>
  <si>
    <t>2026-04-25</t>
  </si>
  <si>
    <t>ORD0115</t>
  </si>
  <si>
    <t>LEAD4693</t>
  </si>
  <si>
    <t>2026-04-26</t>
  </si>
  <si>
    <t>ORD0116</t>
  </si>
  <si>
    <t>LEAD1111</t>
  </si>
  <si>
    <t>2026-04-27</t>
  </si>
  <si>
    <t>ORD0117</t>
  </si>
  <si>
    <t>LEAD3185</t>
  </si>
  <si>
    <t>2026-04-28</t>
  </si>
  <si>
    <t>ORD0118</t>
  </si>
  <si>
    <t>LEAD2200</t>
  </si>
  <si>
    <t>2026-04-29</t>
  </si>
  <si>
    <t>ORD0119</t>
  </si>
  <si>
    <t>LEAD4268</t>
  </si>
  <si>
    <t>2026-04-30</t>
  </si>
  <si>
    <t>ORD0120</t>
  </si>
  <si>
    <t>LEAD2056</t>
  </si>
  <si>
    <t>2026-05-01</t>
  </si>
  <si>
    <t>May</t>
  </si>
  <si>
    <t>ORD0121</t>
  </si>
  <si>
    <t>LEAD1058</t>
  </si>
  <si>
    <t>2026-05-02</t>
  </si>
  <si>
    <t>ORD0122</t>
  </si>
  <si>
    <t>LEAD4167</t>
  </si>
  <si>
    <t>2026-05-03</t>
  </si>
  <si>
    <t>ORD0123</t>
  </si>
  <si>
    <t>LEAD4345</t>
  </si>
  <si>
    <t>2026-05-04</t>
  </si>
  <si>
    <t>ORD0124</t>
  </si>
  <si>
    <t>LEAD2032</t>
  </si>
  <si>
    <t>2026-05-05</t>
  </si>
  <si>
    <t>ORD0125</t>
  </si>
  <si>
    <t>LEAD1916</t>
  </si>
  <si>
    <t>2026-05-06</t>
  </si>
  <si>
    <t>ORD0126</t>
  </si>
  <si>
    <t>LEAD2378</t>
  </si>
  <si>
    <t>2026-05-07</t>
  </si>
  <si>
    <t>ORD0127</t>
  </si>
  <si>
    <t>LEAD1409</t>
  </si>
  <si>
    <t>2026-05-08</t>
  </si>
  <si>
    <t>ORD0128</t>
  </si>
  <si>
    <t>LEAD3445</t>
  </si>
  <si>
    <t>2026-05-09</t>
  </si>
  <si>
    <t>ORD0129</t>
  </si>
  <si>
    <t>LEAD3565</t>
  </si>
  <si>
    <t>2026-05-10</t>
  </si>
  <si>
    <t>ORD0130</t>
  </si>
  <si>
    <t>LEAD4566</t>
  </si>
  <si>
    <t>2026-05-11</t>
  </si>
  <si>
    <t>ORD0131</t>
  </si>
  <si>
    <t>LEAD2095</t>
  </si>
  <si>
    <t>2026-05-12</t>
  </si>
  <si>
    <t>ORD0132</t>
  </si>
  <si>
    <t>LEAD1197</t>
  </si>
  <si>
    <t>2026-05-13</t>
  </si>
  <si>
    <t>ORD0133</t>
  </si>
  <si>
    <t>LEAD4021</t>
  </si>
  <si>
    <t>2026-05-14</t>
  </si>
  <si>
    <t>ORD0134</t>
  </si>
  <si>
    <t>LEAD1353</t>
  </si>
  <si>
    <t>2026-05-15</t>
  </si>
  <si>
    <t>ORD0135</t>
  </si>
  <si>
    <t>LEAD2174</t>
  </si>
  <si>
    <t>2026-05-16</t>
  </si>
  <si>
    <t>ORD0136</t>
  </si>
  <si>
    <t>LEAD4646</t>
  </si>
  <si>
    <t>2026-05-17</t>
  </si>
  <si>
    <t>ORD0137</t>
  </si>
  <si>
    <t>LEAD1056</t>
  </si>
  <si>
    <t>2026-05-18</t>
  </si>
  <si>
    <t>ORD0138</t>
  </si>
  <si>
    <t>LEAD2229</t>
  </si>
  <si>
    <t>2026-05-19</t>
  </si>
  <si>
    <t>ORD0139</t>
  </si>
  <si>
    <t>LEAD4787</t>
  </si>
  <si>
    <t>2026-05-20</t>
  </si>
  <si>
    <t>ORD0140</t>
  </si>
  <si>
    <t>LEAD1415</t>
  </si>
  <si>
    <t>2026-05-21</t>
  </si>
  <si>
    <t>ORD0141</t>
  </si>
  <si>
    <t>LEAD1472</t>
  </si>
  <si>
    <t>2026-05-22</t>
  </si>
  <si>
    <t>ORD0142</t>
  </si>
  <si>
    <t>LEAD4945</t>
  </si>
  <si>
    <t>2026-05-23</t>
  </si>
  <si>
    <t>ORD0143</t>
  </si>
  <si>
    <t>LEAD1163</t>
  </si>
  <si>
    <t>2026-05-24</t>
  </si>
  <si>
    <t>ORD0144</t>
  </si>
  <si>
    <t>2026-05-25</t>
  </si>
  <si>
    <t>ORD0145</t>
  </si>
  <si>
    <t>LEAD2767</t>
  </si>
  <si>
    <t>2026-05-26</t>
  </si>
  <si>
    <t>ORD0146</t>
  </si>
  <si>
    <t>LEAD2906</t>
  </si>
  <si>
    <t>2026-05-27</t>
  </si>
  <si>
    <t>ORD0147</t>
  </si>
  <si>
    <t>LEAD2913</t>
  </si>
  <si>
    <t>2026-05-28</t>
  </si>
  <si>
    <t>ORD0148</t>
  </si>
  <si>
    <t>LEAD2691</t>
  </si>
  <si>
    <t>2026-05-29</t>
  </si>
  <si>
    <t>ORD0149</t>
  </si>
  <si>
    <t>2026-05-30</t>
  </si>
  <si>
    <t>ORD0150</t>
  </si>
  <si>
    <t>LEAD3379</t>
  </si>
  <si>
    <t>2026-05-31</t>
  </si>
  <si>
    <t>ORD0151</t>
  </si>
  <si>
    <t>LEAD4428</t>
  </si>
  <si>
    <t>2026-06-01</t>
  </si>
  <si>
    <t>Jun</t>
  </si>
  <si>
    <t>ORD0152</t>
  </si>
  <si>
    <t>LEAD1291</t>
  </si>
  <si>
    <t>2026-06-02</t>
  </si>
  <si>
    <t>ORD0153</t>
  </si>
  <si>
    <t>LEAD3308</t>
  </si>
  <si>
    <t>2026-06-03</t>
  </si>
  <si>
    <t>ORD0154</t>
  </si>
  <si>
    <t>LEAD3792</t>
  </si>
  <si>
    <t>2026-06-04</t>
  </si>
  <si>
    <t>ORD0155</t>
  </si>
  <si>
    <t>LEAD2365</t>
  </si>
  <si>
    <t>2026-06-05</t>
  </si>
  <si>
    <t>ORD0156</t>
  </si>
  <si>
    <t>LEAD4411</t>
  </si>
  <si>
    <t>2026-06-06</t>
  </si>
  <si>
    <t>ORD0157</t>
  </si>
  <si>
    <t>LEAD4499</t>
  </si>
  <si>
    <t>2026-06-07</t>
  </si>
  <si>
    <t>ORD0158</t>
  </si>
  <si>
    <t>LEAD4140</t>
  </si>
  <si>
    <t>2026-06-08</t>
  </si>
  <si>
    <t>ORD0159</t>
  </si>
  <si>
    <t>LEAD2326</t>
  </si>
  <si>
    <t>2026-06-09</t>
  </si>
  <si>
    <t>ORD0160</t>
  </si>
  <si>
    <t>LEAD4304</t>
  </si>
  <si>
    <t>2026-06-10</t>
  </si>
  <si>
    <t>ORD0161</t>
  </si>
  <si>
    <t>LEAD4211</t>
  </si>
  <si>
    <t>2026-06-11</t>
  </si>
  <si>
    <t>ORD0162</t>
  </si>
  <si>
    <t>LEAD2314</t>
  </si>
  <si>
    <t>2026-06-12</t>
  </si>
  <si>
    <t>ORD0163</t>
  </si>
  <si>
    <t>LEAD3156</t>
  </si>
  <si>
    <t>2026-06-13</t>
  </si>
  <si>
    <t>ORD0164</t>
  </si>
  <si>
    <t>LEAD4526</t>
  </si>
  <si>
    <t>2026-06-14</t>
  </si>
  <si>
    <t>ORD0165</t>
  </si>
  <si>
    <t>LEAD1733</t>
  </si>
  <si>
    <t>2026-06-15</t>
  </si>
  <si>
    <t>ORD0166</t>
  </si>
  <si>
    <t>LEAD2927</t>
  </si>
  <si>
    <t>2026-06-16</t>
  </si>
  <si>
    <t>ORD0167</t>
  </si>
  <si>
    <t>LEAD4997</t>
  </si>
  <si>
    <t>2026-06-17</t>
  </si>
  <si>
    <t>ORD0168</t>
  </si>
  <si>
    <t>LEAD2395</t>
  </si>
  <si>
    <t>2026-06-18</t>
  </si>
  <si>
    <t>ORD0169</t>
  </si>
  <si>
    <t>LEAD1307</t>
  </si>
  <si>
    <t>2026-06-19</t>
  </si>
  <si>
    <t>ORD0170</t>
  </si>
  <si>
    <t>LEAD1775</t>
  </si>
  <si>
    <t>2026-06-20</t>
  </si>
  <si>
    <t>ORD0171</t>
  </si>
  <si>
    <t>LEAD1800</t>
  </si>
  <si>
    <t>2026-06-21</t>
  </si>
  <si>
    <t>ORD0172</t>
  </si>
  <si>
    <t>LEAD1476</t>
  </si>
  <si>
    <t>2026-06-22</t>
  </si>
  <si>
    <t>ORD0173</t>
  </si>
  <si>
    <t>LEAD2941</t>
  </si>
  <si>
    <t>2026-06-23</t>
  </si>
  <si>
    <t>ORD0174</t>
  </si>
  <si>
    <t>LEAD1742</t>
  </si>
  <si>
    <t>2026-06-24</t>
  </si>
  <si>
    <t>ORD0175</t>
  </si>
  <si>
    <t>LEAD3292</t>
  </si>
  <si>
    <t>2026-06-25</t>
  </si>
  <si>
    <t>ORD0176</t>
  </si>
  <si>
    <t>LEAD1816</t>
  </si>
  <si>
    <t>2026-06-26</t>
  </si>
  <si>
    <t>ORD0177</t>
  </si>
  <si>
    <t>LEAD2954</t>
  </si>
  <si>
    <t>2026-06-27</t>
  </si>
  <si>
    <t>ORD0178</t>
  </si>
  <si>
    <t>LEAD3347</t>
  </si>
  <si>
    <t>2026-06-28</t>
  </si>
  <si>
    <t>ORD0179</t>
  </si>
  <si>
    <t>LEAD4719</t>
  </si>
  <si>
    <t>2026-06-29</t>
  </si>
  <si>
    <t>ORD0180</t>
  </si>
  <si>
    <t>LEAD1417</t>
  </si>
  <si>
    <t>2026-06-30</t>
  </si>
  <si>
    <t>ORD0181</t>
  </si>
  <si>
    <t>LEAD1495</t>
  </si>
  <si>
    <t>2026-07-01</t>
  </si>
  <si>
    <t>Jul</t>
  </si>
  <si>
    <t>ORD0182</t>
  </si>
  <si>
    <t>LEAD4171</t>
  </si>
  <si>
    <t>2026-07-02</t>
  </si>
  <si>
    <t>ORD0183</t>
  </si>
  <si>
    <t>LEAD3722</t>
  </si>
  <si>
    <t>2026-07-03</t>
  </si>
  <si>
    <t>ORD0184</t>
  </si>
  <si>
    <t>LEAD3853</t>
  </si>
  <si>
    <t>2026-07-04</t>
  </si>
  <si>
    <t>ORD0185</t>
  </si>
  <si>
    <t>LEAD3655</t>
  </si>
  <si>
    <t>2026-07-05</t>
  </si>
  <si>
    <t>ORD0186</t>
  </si>
  <si>
    <t>LEAD1904</t>
  </si>
  <si>
    <t>2026-07-06</t>
  </si>
  <si>
    <t>ORD0187</t>
  </si>
  <si>
    <t>LEAD3434</t>
  </si>
  <si>
    <t>2026-07-07</t>
  </si>
  <si>
    <t>ORD0188</t>
  </si>
  <si>
    <t>LEAD1492</t>
  </si>
  <si>
    <t>2026-07-08</t>
  </si>
  <si>
    <t>ORD0189</t>
  </si>
  <si>
    <t>LEAD3781</t>
  </si>
  <si>
    <t>2026-07-09</t>
  </si>
  <si>
    <t>ORD0190</t>
  </si>
  <si>
    <t>LEAD4781</t>
  </si>
  <si>
    <t>2026-07-10</t>
  </si>
  <si>
    <t>ORD0191</t>
  </si>
  <si>
    <t>LEAD3162</t>
  </si>
  <si>
    <t>2026-07-11</t>
  </si>
  <si>
    <t>ORD0192</t>
  </si>
  <si>
    <t>LEAD2703</t>
  </si>
  <si>
    <t>2026-07-12</t>
  </si>
  <si>
    <t>ORD0193</t>
  </si>
  <si>
    <t>LEAD2823</t>
  </si>
  <si>
    <t>2026-07-13</t>
  </si>
  <si>
    <t>ORD0194</t>
  </si>
  <si>
    <t>2026-07-14</t>
  </si>
  <si>
    <t>ORD0195</t>
  </si>
  <si>
    <t>LEAD4892</t>
  </si>
  <si>
    <t>2026-07-15</t>
  </si>
  <si>
    <t>ORD0196</t>
  </si>
  <si>
    <t>LEAD4207</t>
  </si>
  <si>
    <t>2026-07-16</t>
  </si>
  <si>
    <t>ORD0197</t>
  </si>
  <si>
    <t>2026-07-17</t>
  </si>
  <si>
    <t>ORD0198</t>
  </si>
  <si>
    <t>LEAD2936</t>
  </si>
  <si>
    <t>2026-07-18</t>
  </si>
  <si>
    <t>ORD0199</t>
  </si>
  <si>
    <t>LEAD2548</t>
  </si>
  <si>
    <t>2026-07-19</t>
  </si>
  <si>
    <t>ORD0200</t>
  </si>
  <si>
    <t>LEAD4568</t>
  </si>
  <si>
    <t>2026-07-20</t>
  </si>
  <si>
    <t>ORD0201</t>
  </si>
  <si>
    <t>LEAD3416</t>
  </si>
  <si>
    <t>2026-07-21</t>
  </si>
  <si>
    <t>ORD0202</t>
  </si>
  <si>
    <t>LEAD1909</t>
  </si>
  <si>
    <t>2026-07-22</t>
  </si>
  <si>
    <t>ORD0203</t>
  </si>
  <si>
    <t>LEAD4409</t>
  </si>
  <si>
    <t>2026-07-23</t>
  </si>
  <si>
    <t>ORD0204</t>
  </si>
  <si>
    <t>LEAD3896</t>
  </si>
  <si>
    <t>2026-07-24</t>
  </si>
  <si>
    <t>ORD0205</t>
  </si>
  <si>
    <t>LEAD3084</t>
  </si>
  <si>
    <t>2026-07-25</t>
  </si>
  <si>
    <t>ORD0206</t>
  </si>
  <si>
    <t>LEAD4413</t>
  </si>
  <si>
    <t>2026-07-26</t>
  </si>
  <si>
    <t>ORD0207</t>
  </si>
  <si>
    <t>LEAD2962</t>
  </si>
  <si>
    <t>2026-07-27</t>
  </si>
  <si>
    <t>ORD0208</t>
  </si>
  <si>
    <t>LEAD1857</t>
  </si>
  <si>
    <t>2026-07-28</t>
  </si>
  <si>
    <t>ORD0209</t>
  </si>
  <si>
    <t>LEAD4836</t>
  </si>
  <si>
    <t>2026-07-29</t>
  </si>
  <si>
    <t>ORD0210</t>
  </si>
  <si>
    <t>LEAD3640</t>
  </si>
  <si>
    <t>2026-07-30</t>
  </si>
  <si>
    <t>ORD0211</t>
  </si>
  <si>
    <t>LEAD3839</t>
  </si>
  <si>
    <t>2026-07-31</t>
  </si>
  <si>
    <t>ORD0212</t>
  </si>
  <si>
    <t>LEAD3628</t>
  </si>
  <si>
    <t>2026-08-01</t>
  </si>
  <si>
    <t>Aug</t>
  </si>
  <si>
    <t>ORD0213</t>
  </si>
  <si>
    <t>2026-08-02</t>
  </si>
  <si>
    <t>ORD0214</t>
  </si>
  <si>
    <t>LEAD2919</t>
  </si>
  <si>
    <t>2026-08-03</t>
  </si>
  <si>
    <t>ORD0215</t>
  </si>
  <si>
    <t>LEAD2437</t>
  </si>
  <si>
    <t>2026-08-04</t>
  </si>
  <si>
    <t>ORD0216</t>
  </si>
  <si>
    <t>LEAD1202</t>
  </si>
  <si>
    <t>2026-08-05</t>
  </si>
  <si>
    <t>ORD0217</t>
  </si>
  <si>
    <t>2026-08-06</t>
  </si>
  <si>
    <t>ORD0218</t>
  </si>
  <si>
    <t>LEAD4609</t>
  </si>
  <si>
    <t>2026-08-07</t>
  </si>
  <si>
    <t>ORD0219</t>
  </si>
  <si>
    <t>LEAD2965</t>
  </si>
  <si>
    <t>2026-08-08</t>
  </si>
  <si>
    <t>ORD0220</t>
  </si>
  <si>
    <t>LEAD4523</t>
  </si>
  <si>
    <t>2026-08-09</t>
  </si>
  <si>
    <t>ORD0221</t>
  </si>
  <si>
    <t>LEAD3563</t>
  </si>
  <si>
    <t>2026-08-10</t>
  </si>
  <si>
    <t>ORD0222</t>
  </si>
  <si>
    <t>LEAD2331</t>
  </si>
  <si>
    <t>2026-08-11</t>
  </si>
  <si>
    <t>ORD0223</t>
  </si>
  <si>
    <t>LEAD1099</t>
  </si>
  <si>
    <t>2026-08-12</t>
  </si>
  <si>
    <t>ORD0224</t>
  </si>
  <si>
    <t>LEAD3692</t>
  </si>
  <si>
    <t>2026-08-13</t>
  </si>
  <si>
    <t>ORD0225</t>
  </si>
  <si>
    <t>LEAD2114</t>
  </si>
  <si>
    <t>2026-08-14</t>
  </si>
  <si>
    <t>ORD0226</t>
  </si>
  <si>
    <t>LEAD1873</t>
  </si>
  <si>
    <t>2026-08-15</t>
  </si>
  <si>
    <t>ORD0227</t>
  </si>
  <si>
    <t>LEAD4705</t>
  </si>
  <si>
    <t>2026-08-16</t>
  </si>
  <si>
    <t>ORD0228</t>
  </si>
  <si>
    <t>LEAD2629</t>
  </si>
  <si>
    <t>2026-08-17</t>
  </si>
  <si>
    <t>ORD0229</t>
  </si>
  <si>
    <t>LEAD1783</t>
  </si>
  <si>
    <t>2026-08-18</t>
  </si>
  <si>
    <t>ORD0230</t>
  </si>
  <si>
    <t>LEAD3607</t>
  </si>
  <si>
    <t>2026-08-19</t>
  </si>
  <si>
    <t>ORD0231</t>
  </si>
  <si>
    <t>LEAD1807</t>
  </si>
  <si>
    <t>2026-08-20</t>
  </si>
  <si>
    <t>ORD0232</t>
  </si>
  <si>
    <t>LEAD4480</t>
  </si>
  <si>
    <t>2026-08-21</t>
  </si>
  <si>
    <t>ORD0233</t>
  </si>
  <si>
    <t>LEAD3572</t>
  </si>
  <si>
    <t>2026-08-22</t>
  </si>
  <si>
    <t>ORD0234</t>
  </si>
  <si>
    <t>LEAD2212</t>
  </si>
  <si>
    <t>2026-08-23</t>
  </si>
  <si>
    <t>ORD0235</t>
  </si>
  <si>
    <t>LEAD1300</t>
  </si>
  <si>
    <t>2026-08-24</t>
  </si>
  <si>
    <t>ORD0236</t>
  </si>
  <si>
    <t>LEAD4864</t>
  </si>
  <si>
    <t>2026-08-25</t>
  </si>
  <si>
    <t>ORD0237</t>
  </si>
  <si>
    <t>LEAD4233</t>
  </si>
  <si>
    <t>2026-08-26</t>
  </si>
  <si>
    <t>ORD0238</t>
  </si>
  <si>
    <t>2026-08-27</t>
  </si>
  <si>
    <t>ORD0239</t>
  </si>
  <si>
    <t>LEAD1236</t>
  </si>
  <si>
    <t>2026-08-28</t>
  </si>
  <si>
    <t>ORD0240</t>
  </si>
  <si>
    <t>LEAD2494</t>
  </si>
  <si>
    <t>2026-08-29</t>
  </si>
  <si>
    <t>ORD0241</t>
  </si>
  <si>
    <t>LEAD2207</t>
  </si>
  <si>
    <t>2026-08-30</t>
  </si>
  <si>
    <t>ORD0242</t>
  </si>
  <si>
    <t>2026-08-31</t>
  </si>
  <si>
    <t>ORD0243</t>
  </si>
  <si>
    <t>LEAD2716</t>
  </si>
  <si>
    <t>2026-09-01</t>
  </si>
  <si>
    <t>Sep</t>
  </si>
  <si>
    <t>ORD0244</t>
  </si>
  <si>
    <t>LEAD1214</t>
  </si>
  <si>
    <t>2026-09-02</t>
  </si>
  <si>
    <t>ORD0245</t>
  </si>
  <si>
    <t>LEAD3999</t>
  </si>
  <si>
    <t>2026-09-03</t>
  </si>
  <si>
    <t>ORD0246</t>
  </si>
  <si>
    <t>LEAD1792</t>
  </si>
  <si>
    <t>2026-09-04</t>
  </si>
  <si>
    <t>ORD0247</t>
  </si>
  <si>
    <t>LEAD4030</t>
  </si>
  <si>
    <t>2026-09-05</t>
  </si>
  <si>
    <t>ORD0248</t>
  </si>
  <si>
    <t>LEAD4615</t>
  </si>
  <si>
    <t>2026-09-06</t>
  </si>
  <si>
    <t>ORD0249</t>
  </si>
  <si>
    <t>LEAD3674</t>
  </si>
  <si>
    <t>2026-09-07</t>
  </si>
  <si>
    <t>ORD0250</t>
  </si>
  <si>
    <t>LEAD3952</t>
  </si>
  <si>
    <t>2026-09-08</t>
  </si>
  <si>
    <t>ORD0251</t>
  </si>
  <si>
    <t>LEAD3260</t>
  </si>
  <si>
    <t>2026-09-09</t>
  </si>
  <si>
    <t>ORD0252</t>
  </si>
  <si>
    <t>LEAD3800</t>
  </si>
  <si>
    <t>2026-09-10</t>
  </si>
  <si>
    <t>ORD0253</t>
  </si>
  <si>
    <t>LEAD2369</t>
  </si>
  <si>
    <t>2026-09-11</t>
  </si>
  <si>
    <t>ORD0254</t>
  </si>
  <si>
    <t>LEAD3801</t>
  </si>
  <si>
    <t>2026-09-12</t>
  </si>
  <si>
    <t>ORD0255</t>
  </si>
  <si>
    <t>LEAD1431</t>
  </si>
  <si>
    <t>2026-09-13</t>
  </si>
  <si>
    <t>ORD0256</t>
  </si>
  <si>
    <t>LEAD2340</t>
  </si>
  <si>
    <t>2026-09-14</t>
  </si>
  <si>
    <t>ORD0257</t>
  </si>
  <si>
    <t>LEAD1987</t>
  </si>
  <si>
    <t>2026-09-15</t>
  </si>
  <si>
    <t>ORD0258</t>
  </si>
  <si>
    <t>LEAD1466</t>
  </si>
  <si>
    <t>2026-09-16</t>
  </si>
  <si>
    <t>ORD0259</t>
  </si>
  <si>
    <t>LEAD3778</t>
  </si>
  <si>
    <t>2026-09-17</t>
  </si>
  <si>
    <t>ORD0260</t>
  </si>
  <si>
    <t>LEAD1345</t>
  </si>
  <si>
    <t>2026-09-18</t>
  </si>
  <si>
    <t>ORD0261</t>
  </si>
  <si>
    <t>LEAD1343</t>
  </si>
  <si>
    <t>2026-09-19</t>
  </si>
  <si>
    <t>ORD0262</t>
  </si>
  <si>
    <t>LEAD4201</t>
  </si>
  <si>
    <t>2026-09-20</t>
  </si>
  <si>
    <t>ORD0263</t>
  </si>
  <si>
    <t>LEAD1558</t>
  </si>
  <si>
    <t>2026-09-21</t>
  </si>
  <si>
    <t>ORD0264</t>
  </si>
  <si>
    <t>LEAD1989</t>
  </si>
  <si>
    <t>2026-09-22</t>
  </si>
  <si>
    <t>ORD0265</t>
  </si>
  <si>
    <t>LEAD1874</t>
  </si>
  <si>
    <t>2026-09-23</t>
  </si>
  <si>
    <t>ORD0266</t>
  </si>
  <si>
    <t>LEAD1210</t>
  </si>
  <si>
    <t>2026-09-24</t>
  </si>
  <si>
    <t>ORD0267</t>
  </si>
  <si>
    <t>LEAD3990</t>
  </si>
  <si>
    <t>2026-09-25</t>
  </si>
  <si>
    <t>ORD0268</t>
  </si>
  <si>
    <t>LEAD3549</t>
  </si>
  <si>
    <t>2026-09-26</t>
  </si>
  <si>
    <t>ORD0269</t>
  </si>
  <si>
    <t>LEAD3146</t>
  </si>
  <si>
    <t>2026-09-27</t>
  </si>
  <si>
    <t>ORD0270</t>
  </si>
  <si>
    <t>LEAD1589</t>
  </si>
  <si>
    <t>2026-09-28</t>
  </si>
  <si>
    <t>ORD0271</t>
  </si>
  <si>
    <t>LEAD4063</t>
  </si>
  <si>
    <t>2026-09-29</t>
  </si>
  <si>
    <t>ORD0272</t>
  </si>
  <si>
    <t>LEAD2110</t>
  </si>
  <si>
    <t>2026-09-30</t>
  </si>
  <si>
    <t>ORD0273</t>
  </si>
  <si>
    <t>LEAD1580</t>
  </si>
  <si>
    <t>2026-10-01</t>
  </si>
  <si>
    <t>Oct</t>
  </si>
  <si>
    <t>ORD0274</t>
  </si>
  <si>
    <t>LEAD1346</t>
  </si>
  <si>
    <t>2026-10-02</t>
  </si>
  <si>
    <t>ORD0275</t>
  </si>
  <si>
    <t>LEAD4979</t>
  </si>
  <si>
    <t>2026-10-03</t>
  </si>
  <si>
    <t>ORD0276</t>
  </si>
  <si>
    <t>LEAD2938</t>
  </si>
  <si>
    <t>2026-10-04</t>
  </si>
  <si>
    <t>ORD0277</t>
  </si>
  <si>
    <t>LEAD3383</t>
  </si>
  <si>
    <t>2026-10-05</t>
  </si>
  <si>
    <t>ORD0278</t>
  </si>
  <si>
    <t>2026-10-06</t>
  </si>
  <si>
    <t>ORD0279</t>
  </si>
  <si>
    <t>LEAD3823</t>
  </si>
  <si>
    <t>2026-10-07</t>
  </si>
  <si>
    <t>ORD0280</t>
  </si>
  <si>
    <t>LEAD2440</t>
  </si>
  <si>
    <t>2026-10-08</t>
  </si>
  <si>
    <t>ORD0281</t>
  </si>
  <si>
    <t>LEAD4102</t>
  </si>
  <si>
    <t>2026-10-09</t>
  </si>
  <si>
    <t>ORD0282</t>
  </si>
  <si>
    <t>LEAD1080</t>
  </si>
  <si>
    <t>2026-10-10</t>
  </si>
  <si>
    <t>ORD0283</t>
  </si>
  <si>
    <t>LEAD3657</t>
  </si>
  <si>
    <t>2026-10-11</t>
  </si>
  <si>
    <t>ORD0284</t>
  </si>
  <si>
    <t>2026-10-12</t>
  </si>
  <si>
    <t>ORD0285</t>
  </si>
  <si>
    <t>LEAD2409</t>
  </si>
  <si>
    <t>2026-10-13</t>
  </si>
  <si>
    <t>ORD0286</t>
  </si>
  <si>
    <t>LEAD4223</t>
  </si>
  <si>
    <t>2026-10-14</t>
  </si>
  <si>
    <t>ORD0287</t>
  </si>
  <si>
    <t>LEAD2382</t>
  </si>
  <si>
    <t>2026-10-15</t>
  </si>
  <si>
    <t>ORD0288</t>
  </si>
  <si>
    <t>LEAD1945</t>
  </si>
  <si>
    <t>2026-10-16</t>
  </si>
  <si>
    <t>ORD0289</t>
  </si>
  <si>
    <t>LEAD4887</t>
  </si>
  <si>
    <t>2026-10-17</t>
  </si>
  <si>
    <t>ORD0290</t>
  </si>
  <si>
    <t>LEAD2149</t>
  </si>
  <si>
    <t>2026-10-18</t>
  </si>
  <si>
    <t>ORD0291</t>
  </si>
  <si>
    <t>LEAD2745</t>
  </si>
  <si>
    <t>2026-10-19</t>
  </si>
  <si>
    <t>ORD0292</t>
  </si>
  <si>
    <t>LEAD4602</t>
  </si>
  <si>
    <t>2026-10-20</t>
  </si>
  <si>
    <t>ORD0293</t>
  </si>
  <si>
    <t>LEAD1737</t>
  </si>
  <si>
    <t>2026-10-21</t>
  </si>
  <si>
    <t>ORD0294</t>
  </si>
  <si>
    <t>LEAD1076</t>
  </si>
  <si>
    <t>2026-10-22</t>
  </si>
  <si>
    <t>ORD0295</t>
  </si>
  <si>
    <t>LEAD4497</t>
  </si>
  <si>
    <t>2026-10-23</t>
  </si>
  <si>
    <t>ORD0296</t>
  </si>
  <si>
    <t>LEAD1050</t>
  </si>
  <si>
    <t>2026-10-24</t>
  </si>
  <si>
    <t>ORD0297</t>
  </si>
  <si>
    <t>LEAD1818</t>
  </si>
  <si>
    <t>2026-10-25</t>
  </si>
  <si>
    <t>ORD0298</t>
  </si>
  <si>
    <t>LEAD4483</t>
  </si>
  <si>
    <t>2026-10-26</t>
  </si>
  <si>
    <t>ORD0299</t>
  </si>
  <si>
    <t>LEAD3716</t>
  </si>
  <si>
    <t>2026-10-27</t>
  </si>
  <si>
    <t>ORD0300</t>
  </si>
  <si>
    <t>LEAD3581</t>
  </si>
  <si>
    <t>2026-10-28</t>
  </si>
  <si>
    <t>ORD0301</t>
  </si>
  <si>
    <t>LEAD2239</t>
  </si>
  <si>
    <t>2026-10-29</t>
  </si>
  <si>
    <t>ORD0302</t>
  </si>
  <si>
    <t>LEAD1518</t>
  </si>
  <si>
    <t>2026-10-30</t>
  </si>
  <si>
    <t>ORD0303</t>
  </si>
  <si>
    <t>LEAD4368</t>
  </si>
  <si>
    <t>2026-10-31</t>
  </si>
  <si>
    <t>ORD0304</t>
  </si>
  <si>
    <t>LEAD4732</t>
  </si>
  <si>
    <t>2026-11-01</t>
  </si>
  <si>
    <t>Nov</t>
  </si>
  <si>
    <t>ORD0305</t>
  </si>
  <si>
    <t>LEAD3345</t>
  </si>
  <si>
    <t>2026-11-02</t>
  </si>
  <si>
    <t>ORD0306</t>
  </si>
  <si>
    <t>LEAD4618</t>
  </si>
  <si>
    <t>2026-11-03</t>
  </si>
  <si>
    <t>ORD0307</t>
  </si>
  <si>
    <t>LEAD1606</t>
  </si>
  <si>
    <t>2026-11-04</t>
  </si>
  <si>
    <t>ORD0308</t>
  </si>
  <si>
    <t>LEAD4763</t>
  </si>
  <si>
    <t>2026-11-05</t>
  </si>
  <si>
    <t>ORD0309</t>
  </si>
  <si>
    <t>LEAD4817</t>
  </si>
  <si>
    <t>2026-11-06</t>
  </si>
  <si>
    <t>ORD0310</t>
  </si>
  <si>
    <t>LEAD3087</t>
  </si>
  <si>
    <t>2026-11-07</t>
  </si>
  <si>
    <t>ORD0311</t>
  </si>
  <si>
    <t>LEAD4915</t>
  </si>
  <si>
    <t>2026-11-08</t>
  </si>
  <si>
    <t>ORD0312</t>
  </si>
  <si>
    <t>LEAD4532</t>
  </si>
  <si>
    <t>2026-11-09</t>
  </si>
  <si>
    <t>ORD0313</t>
  </si>
  <si>
    <t>LEAD3930</t>
  </si>
  <si>
    <t>2026-11-10</t>
  </si>
  <si>
    <t>ORD0314</t>
  </si>
  <si>
    <t>LEAD2245</t>
  </si>
  <si>
    <t>2026-11-11</t>
  </si>
  <si>
    <t>ORD0315</t>
  </si>
  <si>
    <t>LEAD4475</t>
  </si>
  <si>
    <t>2026-11-12</t>
  </si>
  <si>
    <t>ORD0316</t>
  </si>
  <si>
    <t>LEAD4546</t>
  </si>
  <si>
    <t>2026-11-13</t>
  </si>
  <si>
    <t>ORD0317</t>
  </si>
  <si>
    <t>LEAD4259</t>
  </si>
  <si>
    <t>2026-11-14</t>
  </si>
  <si>
    <t>ORD0318</t>
  </si>
  <si>
    <t>LEAD4965</t>
  </si>
  <si>
    <t>2026-11-15</t>
  </si>
  <si>
    <t>ORD0319</t>
  </si>
  <si>
    <t>LEAD4156</t>
  </si>
  <si>
    <t>2026-11-16</t>
  </si>
  <si>
    <t>ORD0320</t>
  </si>
  <si>
    <t>LEAD1543</t>
  </si>
  <si>
    <t>2026-11-17</t>
  </si>
  <si>
    <t>ORD0321</t>
  </si>
  <si>
    <t>2026-11-18</t>
  </si>
  <si>
    <t>ORD0322</t>
  </si>
  <si>
    <t>LEAD1601</t>
  </si>
  <si>
    <t>2026-11-19</t>
  </si>
  <si>
    <t>ORD0323</t>
  </si>
  <si>
    <t>LEAD2542</t>
  </si>
  <si>
    <t>2026-11-20</t>
  </si>
  <si>
    <t>ORD0324</t>
  </si>
  <si>
    <t>LEAD3121</t>
  </si>
  <si>
    <t>2026-11-21</t>
  </si>
  <si>
    <t>ORD0325</t>
  </si>
  <si>
    <t>2026-11-22</t>
  </si>
  <si>
    <t>ORD0326</t>
  </si>
  <si>
    <t>LEAD3552</t>
  </si>
  <si>
    <t>2026-11-23</t>
  </si>
  <si>
    <t>ORD0327</t>
  </si>
  <si>
    <t>LEAD2515</t>
  </si>
  <si>
    <t>2026-11-24</t>
  </si>
  <si>
    <t>ORD0328</t>
  </si>
  <si>
    <t>LEAD3491</t>
  </si>
  <si>
    <t>2026-11-25</t>
  </si>
  <si>
    <t>ORD0329</t>
  </si>
  <si>
    <t>LEAD4220</t>
  </si>
  <si>
    <t>2026-11-26</t>
  </si>
  <si>
    <t>ORD0330</t>
  </si>
  <si>
    <t>LEAD2394</t>
  </si>
  <si>
    <t>2026-11-27</t>
  </si>
  <si>
    <t>ORD0331</t>
  </si>
  <si>
    <t>LEAD2423</t>
  </si>
  <si>
    <t>2026-11-28</t>
  </si>
  <si>
    <t>ORD0332</t>
  </si>
  <si>
    <t>LEAD1946</t>
  </si>
  <si>
    <t>2026-11-29</t>
  </si>
  <si>
    <t>ORD0333</t>
  </si>
  <si>
    <t>LEAD4848</t>
  </si>
  <si>
    <t>2026-11-30</t>
  </si>
  <si>
    <t>ORD0334</t>
  </si>
  <si>
    <t>LEAD3719</t>
  </si>
  <si>
    <t>2026-12-01</t>
  </si>
  <si>
    <t>Dec</t>
  </si>
  <si>
    <t>ORD0335</t>
  </si>
  <si>
    <t>LEAD3966</t>
  </si>
  <si>
    <t>2026-12-02</t>
  </si>
  <si>
    <t>ORD0336</t>
  </si>
  <si>
    <t>LEAD1840</t>
  </si>
  <si>
    <t>2026-12-03</t>
  </si>
  <si>
    <t>ORD0337</t>
  </si>
  <si>
    <t>LEAD2243</t>
  </si>
  <si>
    <t>2026-12-04</t>
  </si>
  <si>
    <t>ORD0338</t>
  </si>
  <si>
    <t>LEAD2211</t>
  </si>
  <si>
    <t>2026-12-05</t>
  </si>
  <si>
    <t>ORD0339</t>
  </si>
  <si>
    <t>LEAD2554</t>
  </si>
  <si>
    <t>2026-12-06</t>
  </si>
  <si>
    <t>ORD0340</t>
  </si>
  <si>
    <t>LEAD2819</t>
  </si>
  <si>
    <t>2026-12-07</t>
  </si>
  <si>
    <t>ORD0341</t>
  </si>
  <si>
    <t>2026-12-08</t>
  </si>
  <si>
    <t>ORD0342</t>
  </si>
  <si>
    <t>LEAD4237</t>
  </si>
  <si>
    <t>2026-12-09</t>
  </si>
  <si>
    <t>ORD0343</t>
  </si>
  <si>
    <t>LEAD2179</t>
  </si>
  <si>
    <t>2026-12-10</t>
  </si>
  <si>
    <t>ORD0344</t>
  </si>
  <si>
    <t>LEAD4084</t>
  </si>
  <si>
    <t>2026-12-11</t>
  </si>
  <si>
    <t>ORD0345</t>
  </si>
  <si>
    <t>LEAD4978</t>
  </si>
  <si>
    <t>2026-12-12</t>
  </si>
  <si>
    <t>ORD0346</t>
  </si>
  <si>
    <t>LEAD4859</t>
  </si>
  <si>
    <t>2026-12-13</t>
  </si>
  <si>
    <t>ORD0347</t>
  </si>
  <si>
    <t>LEAD3573</t>
  </si>
  <si>
    <t>2026-12-14</t>
  </si>
  <si>
    <t>ORD0348</t>
  </si>
  <si>
    <t>LEAD3912</t>
  </si>
  <si>
    <t>2026-12-15</t>
  </si>
  <si>
    <t>ORD0349</t>
  </si>
  <si>
    <t>LEAD4479</t>
  </si>
  <si>
    <t>2026-12-16</t>
  </si>
  <si>
    <t>ORD0350</t>
  </si>
  <si>
    <t>LEAD3820</t>
  </si>
  <si>
    <t>2026-12-17</t>
  </si>
  <si>
    <t>ORD0351</t>
  </si>
  <si>
    <t>LEAD4933</t>
  </si>
  <si>
    <t>2026-12-18</t>
  </si>
  <si>
    <t>ORD0352</t>
  </si>
  <si>
    <t>LEAD4596</t>
  </si>
  <si>
    <t>2026-12-19</t>
  </si>
  <si>
    <t>ORD0353</t>
  </si>
  <si>
    <t>LEAD1767</t>
  </si>
  <si>
    <t>2026-12-20</t>
  </si>
  <si>
    <t>ORD0354</t>
  </si>
  <si>
    <t>2026-12-21</t>
  </si>
  <si>
    <t>ORD0355</t>
  </si>
  <si>
    <t>LEAD4525</t>
  </si>
  <si>
    <t>2026-12-22</t>
  </si>
  <si>
    <t>ORD0356</t>
  </si>
  <si>
    <t>2026-12-23</t>
  </si>
  <si>
    <t>ORD0357</t>
  </si>
  <si>
    <t>LEAD2433</t>
  </si>
  <si>
    <t>2026-12-24</t>
  </si>
  <si>
    <t>ORD0358</t>
  </si>
  <si>
    <t>LEAD3018</t>
  </si>
  <si>
    <t>2026-12-25</t>
  </si>
  <si>
    <t>ORD0359</t>
  </si>
  <si>
    <t>LEAD1658</t>
  </si>
  <si>
    <t>2026-12-26</t>
  </si>
  <si>
    <t>ORD0360</t>
  </si>
  <si>
    <t>LEAD2537</t>
  </si>
  <si>
    <t>2026-12-27</t>
  </si>
  <si>
    <t>ORD0361</t>
  </si>
  <si>
    <t>LEAD1855</t>
  </si>
  <si>
    <t>2026-12-28</t>
  </si>
  <si>
    <t>ORD0362</t>
  </si>
  <si>
    <t>LEAD3587</t>
  </si>
  <si>
    <t>2026-12-29</t>
  </si>
  <si>
    <t>ORD0363</t>
  </si>
  <si>
    <t>LEAD3758</t>
  </si>
  <si>
    <t>2026-12-30</t>
  </si>
  <si>
    <t>ORD0364</t>
  </si>
  <si>
    <t>LEAD1765</t>
  </si>
  <si>
    <t>2026-12-31</t>
  </si>
  <si>
    <t>ORD0365</t>
  </si>
  <si>
    <t>LEAD4060</t>
  </si>
  <si>
    <t>2027-01-01</t>
  </si>
  <si>
    <t>ORD0366</t>
  </si>
  <si>
    <t>LEAD4463</t>
  </si>
  <si>
    <t>2027-01-02</t>
  </si>
  <si>
    <t>ORD0367</t>
  </si>
  <si>
    <t>LEAD2060</t>
  </si>
  <si>
    <t>2027-01-03</t>
  </si>
  <si>
    <t>ORD0368</t>
  </si>
  <si>
    <t>LEAD3052</t>
  </si>
  <si>
    <t>2027-01-04</t>
  </si>
  <si>
    <t>ORD0369</t>
  </si>
  <si>
    <t>LEAD2724</t>
  </si>
  <si>
    <t>2027-01-05</t>
  </si>
  <si>
    <t>ORD0370</t>
  </si>
  <si>
    <t>LEAD1266</t>
  </si>
  <si>
    <t>2027-01-06</t>
  </si>
  <si>
    <t>ORD0371</t>
  </si>
  <si>
    <t>LEAD3591</t>
  </si>
  <si>
    <t>2027-01-07</t>
  </si>
  <si>
    <t>ORD0372</t>
  </si>
  <si>
    <t>LEAD2512</t>
  </si>
  <si>
    <t>2027-01-08</t>
  </si>
  <si>
    <t>ORD0373</t>
  </si>
  <si>
    <t>LEAD3969</t>
  </si>
  <si>
    <t>2027-01-09</t>
  </si>
  <si>
    <t>ORD0374</t>
  </si>
  <si>
    <t>LEAD3151</t>
  </si>
  <si>
    <t>2027-01-10</t>
  </si>
  <si>
    <t>ORD0375</t>
  </si>
  <si>
    <t>LEAD2330</t>
  </si>
  <si>
    <t>2027-01-11</t>
  </si>
  <si>
    <t>ORD0376</t>
  </si>
  <si>
    <t>LEAD2963</t>
  </si>
  <si>
    <t>2027-01-12</t>
  </si>
  <si>
    <t>ORD0377</t>
  </si>
  <si>
    <t>LEAD3196</t>
  </si>
  <si>
    <t>2027-01-13</t>
  </si>
  <si>
    <t>ORD0378</t>
  </si>
  <si>
    <t>LEAD4358</t>
  </si>
  <si>
    <t>2027-01-14</t>
  </si>
  <si>
    <t>ORD0379</t>
  </si>
  <si>
    <t>LEAD4323</t>
  </si>
  <si>
    <t>2027-01-15</t>
  </si>
  <si>
    <t>ORD0380</t>
  </si>
  <si>
    <t>LEAD1408</t>
  </si>
  <si>
    <t>2027-01-16</t>
  </si>
  <si>
    <t>ORD0381</t>
  </si>
  <si>
    <t>LEAD1771</t>
  </si>
  <si>
    <t>2027-01-17</t>
  </si>
  <si>
    <t>ORD0382</t>
  </si>
  <si>
    <t>LEAD4116</t>
  </si>
  <si>
    <t>2027-01-18</t>
  </si>
  <si>
    <t>ORD0383</t>
  </si>
  <si>
    <t>LEAD1884</t>
  </si>
  <si>
    <t>2027-01-19</t>
  </si>
  <si>
    <t>ORD0384</t>
  </si>
  <si>
    <t>LEAD4976</t>
  </si>
  <si>
    <t>2027-01-20</t>
  </si>
  <si>
    <t>ORD0385</t>
  </si>
  <si>
    <t>LEAD1237</t>
  </si>
  <si>
    <t>2027-01-21</t>
  </si>
  <si>
    <t>ORD0386</t>
  </si>
  <si>
    <t>LEAD2356</t>
  </si>
  <si>
    <t>2027-01-22</t>
  </si>
  <si>
    <t>ORD0387</t>
  </si>
  <si>
    <t>LEAD2296</t>
  </si>
  <si>
    <t>2027-01-23</t>
  </si>
  <si>
    <t>ORD0388</t>
  </si>
  <si>
    <t>LEAD4604</t>
  </si>
  <si>
    <t>2027-01-24</t>
  </si>
  <si>
    <t>ORD0389</t>
  </si>
  <si>
    <t>LEAD1963</t>
  </si>
  <si>
    <t>2027-01-25</t>
  </si>
  <si>
    <t>ORD0390</t>
  </si>
  <si>
    <t>LEAD2934</t>
  </si>
  <si>
    <t>2027-01-26</t>
  </si>
  <si>
    <t>ORD0391</t>
  </si>
  <si>
    <t>LEAD1982</t>
  </si>
  <si>
    <t>2027-01-27</t>
  </si>
  <si>
    <t>ORD0392</t>
  </si>
  <si>
    <t>LEAD1953</t>
  </si>
  <si>
    <t>2027-01-28</t>
  </si>
  <si>
    <t>ORD0393</t>
  </si>
  <si>
    <t>LEAD3286</t>
  </si>
  <si>
    <t>2027-01-29</t>
  </si>
  <si>
    <t>ORD0394</t>
  </si>
  <si>
    <t>LEAD4129</t>
  </si>
  <si>
    <t>2027-01-30</t>
  </si>
  <si>
    <t>ORD0395</t>
  </si>
  <si>
    <t>LEAD1755</t>
  </si>
  <si>
    <t>2027-01-31</t>
  </si>
  <si>
    <t>ORD0396</t>
  </si>
  <si>
    <t>LEAD1425</t>
  </si>
  <si>
    <t>2027-02-01</t>
  </si>
  <si>
    <t>ORD0397</t>
  </si>
  <si>
    <t>LEAD3479</t>
  </si>
  <si>
    <t>2027-02-02</t>
  </si>
  <si>
    <t>ORD0398</t>
  </si>
  <si>
    <t>LEAD3378</t>
  </si>
  <si>
    <t>2027-02-03</t>
  </si>
  <si>
    <t>ORD0399</t>
  </si>
  <si>
    <t>LEAD3140</t>
  </si>
  <si>
    <t>2027-02-04</t>
  </si>
  <si>
    <t>ORD0400</t>
  </si>
  <si>
    <t>2027-02-05</t>
  </si>
  <si>
    <t>ORD0401</t>
  </si>
  <si>
    <t>LEAD2580</t>
  </si>
  <si>
    <t>2027-02-06</t>
  </si>
  <si>
    <t>ORD0402</t>
  </si>
  <si>
    <t>LEAD2495</t>
  </si>
  <si>
    <t>2027-02-07</t>
  </si>
  <si>
    <t>ORD0403</t>
  </si>
  <si>
    <t>LEAD3037</t>
  </si>
  <si>
    <t>2027-02-08</t>
  </si>
  <si>
    <t>ORD0404</t>
  </si>
  <si>
    <t>LEAD2925</t>
  </si>
  <si>
    <t>2027-02-09</t>
  </si>
  <si>
    <t>ORD0405</t>
  </si>
  <si>
    <t>LEAD4586</t>
  </si>
  <si>
    <t>2027-02-10</t>
  </si>
  <si>
    <t>ORD0406</t>
  </si>
  <si>
    <t>2027-02-11</t>
  </si>
  <si>
    <t>ORD0407</t>
  </si>
  <si>
    <t>LEAD4349</t>
  </si>
  <si>
    <t>2027-02-12</t>
  </si>
  <si>
    <t>ORD0408</t>
  </si>
  <si>
    <t>LEAD1853</t>
  </si>
  <si>
    <t>2027-02-13</t>
  </si>
  <si>
    <t>ORD0409</t>
  </si>
  <si>
    <t>LEAD3876</t>
  </si>
  <si>
    <t>2027-02-14</t>
  </si>
  <si>
    <t>ORD0410</t>
  </si>
  <si>
    <t>LEAD1708</t>
  </si>
  <si>
    <t>2027-02-15</t>
  </si>
  <si>
    <t>ORD0411</t>
  </si>
  <si>
    <t>LEAD4039</t>
  </si>
  <si>
    <t>2027-02-16</t>
  </si>
  <si>
    <t>ORD0412</t>
  </si>
  <si>
    <t>LEAD4094</t>
  </si>
  <si>
    <t>2027-02-17</t>
  </si>
  <si>
    <t>ORD0413</t>
  </si>
  <si>
    <t>LEAD4846</t>
  </si>
  <si>
    <t>2027-02-18</t>
  </si>
  <si>
    <t>ORD0414</t>
  </si>
  <si>
    <t>LEAD4926</t>
  </si>
  <si>
    <t>2027-02-19</t>
  </si>
  <si>
    <t>ORD0415</t>
  </si>
  <si>
    <t>2027-02-20</t>
  </si>
  <si>
    <t>ORD0416</t>
  </si>
  <si>
    <t>2027-02-21</t>
  </si>
  <si>
    <t>ORD0417</t>
  </si>
  <si>
    <t>LEAD2866</t>
  </si>
  <si>
    <t>2027-02-22</t>
  </si>
  <si>
    <t>ORD0418</t>
  </si>
  <si>
    <t>LEAD1812</t>
  </si>
  <si>
    <t>2027-02-23</t>
  </si>
  <si>
    <t>ORD0419</t>
  </si>
  <si>
    <t>LEAD1041</t>
  </si>
  <si>
    <t>2027-02-24</t>
  </si>
  <si>
    <t>ORD0420</t>
  </si>
  <si>
    <t>LEAD1754</t>
  </si>
  <si>
    <t>2027-02-25</t>
  </si>
  <si>
    <t>ORD0421</t>
  </si>
  <si>
    <t>LEAD2004</t>
  </si>
  <si>
    <t>2027-02-26</t>
  </si>
  <si>
    <t>ORD0422</t>
  </si>
  <si>
    <t>LEAD1286</t>
  </si>
  <si>
    <t>2027-02-27</t>
  </si>
  <si>
    <t>ORD0423</t>
  </si>
  <si>
    <t>LEAD1499</t>
  </si>
  <si>
    <t>2027-02-28</t>
  </si>
  <si>
    <t>ORD0424</t>
  </si>
  <si>
    <t>LEAD3171</t>
  </si>
  <si>
    <t>2027-03-01</t>
  </si>
  <si>
    <t>ORD0425</t>
  </si>
  <si>
    <t>LEAD4282</t>
  </si>
  <si>
    <t>2027-03-02</t>
  </si>
  <si>
    <t>ORD0426</t>
  </si>
  <si>
    <t>LEAD1328</t>
  </si>
  <si>
    <t>2027-03-03</t>
  </si>
  <si>
    <t>ORD0427</t>
  </si>
  <si>
    <t>LEAD1110</t>
  </si>
  <si>
    <t>2027-03-04</t>
  </si>
  <si>
    <t>ORD0428</t>
  </si>
  <si>
    <t>LEAD1398</t>
  </si>
  <si>
    <t>2027-03-05</t>
  </si>
  <si>
    <t>ORD0429</t>
  </si>
  <si>
    <t>LEAD2430</t>
  </si>
  <si>
    <t>2027-03-06</t>
  </si>
  <si>
    <t>ORD0430</t>
  </si>
  <si>
    <t>2027-03-07</t>
  </si>
  <si>
    <t>ORD0431</t>
  </si>
  <si>
    <t>LEAD3279</t>
  </si>
  <si>
    <t>2027-03-08</t>
  </si>
  <si>
    <t>ORD0432</t>
  </si>
  <si>
    <t>2027-03-09</t>
  </si>
  <si>
    <t>ORD0433</t>
  </si>
  <si>
    <t>LEAD2697</t>
  </si>
  <si>
    <t>2027-03-10</t>
  </si>
  <si>
    <t>ORD0434</t>
  </si>
  <si>
    <t>LEAD2859</t>
  </si>
  <si>
    <t>2027-03-11</t>
  </si>
  <si>
    <t>ORD0435</t>
  </si>
  <si>
    <t>LEAD3322</t>
  </si>
  <si>
    <t>2027-03-12</t>
  </si>
  <si>
    <t>ORD0436</t>
  </si>
  <si>
    <t>LEAD3624</t>
  </si>
  <si>
    <t>2027-03-13</t>
  </si>
  <si>
    <t>ORD0437</t>
  </si>
  <si>
    <t>LEAD1879</t>
  </si>
  <si>
    <t>2027-03-14</t>
  </si>
  <si>
    <t>ORD0438</t>
  </si>
  <si>
    <t>2027-03-15</t>
  </si>
  <si>
    <t>ORD0439</t>
  </si>
  <si>
    <t>LEAD1100</t>
  </si>
  <si>
    <t>2027-03-16</t>
  </si>
  <si>
    <t>ORD0440</t>
  </si>
  <si>
    <t>LEAD4314</t>
  </si>
  <si>
    <t>2027-03-17</t>
  </si>
  <si>
    <t>ORD0441</t>
  </si>
  <si>
    <t>LEAD3706</t>
  </si>
  <si>
    <t>2027-03-18</t>
  </si>
  <si>
    <t>ORD0442</t>
  </si>
  <si>
    <t>LEAD4383</t>
  </si>
  <si>
    <t>2027-03-19</t>
  </si>
  <si>
    <t>ORD0443</t>
  </si>
  <si>
    <t>LEAD2702</t>
  </si>
  <si>
    <t>2027-03-20</t>
  </si>
  <si>
    <t>ORD0444</t>
  </si>
  <si>
    <t>LEAD1281</t>
  </si>
  <si>
    <t>2027-03-21</t>
  </si>
  <si>
    <t>ORD0445</t>
  </si>
  <si>
    <t>LEAD1420</t>
  </si>
  <si>
    <t>2027-03-22</t>
  </si>
  <si>
    <t>ORD0446</t>
  </si>
  <si>
    <t>LEAD1932</t>
  </si>
  <si>
    <t>2027-03-23</t>
  </si>
  <si>
    <t>ORD0447</t>
  </si>
  <si>
    <t>LEAD2917</t>
  </si>
  <si>
    <t>2027-03-24</t>
  </si>
  <si>
    <t>ORD0448</t>
  </si>
  <si>
    <t>LEAD2891</t>
  </si>
  <si>
    <t>2027-03-25</t>
  </si>
  <si>
    <t>ORD0449</t>
  </si>
  <si>
    <t>LEAD3142</t>
  </si>
  <si>
    <t>2027-03-26</t>
  </si>
  <si>
    <t>ORD0450</t>
  </si>
  <si>
    <t>LEAD4191</t>
  </si>
  <si>
    <t>2027-03-27</t>
  </si>
  <si>
    <t>ORD0451</t>
  </si>
  <si>
    <t>LEAD2076</t>
  </si>
  <si>
    <t>2027-03-28</t>
  </si>
  <si>
    <t>ORD0452</t>
  </si>
  <si>
    <t>LEAD2350</t>
  </si>
  <si>
    <t>2027-03-29</t>
  </si>
  <si>
    <t>ORD0453</t>
  </si>
  <si>
    <t>LEAD4928</t>
  </si>
  <si>
    <t>2027-03-30</t>
  </si>
  <si>
    <t>ORD0454</t>
  </si>
  <si>
    <t>LEAD1610</t>
  </si>
  <si>
    <t>2027-03-31</t>
  </si>
  <si>
    <t>ORD0455</t>
  </si>
  <si>
    <t>2027-04-01</t>
  </si>
  <si>
    <t>ORD0456</t>
  </si>
  <si>
    <t>LEAD4276</t>
  </si>
  <si>
    <t>2027-04-02</t>
  </si>
  <si>
    <t>ORD0457</t>
  </si>
  <si>
    <t>LEAD3058</t>
  </si>
  <si>
    <t>2027-04-03</t>
  </si>
  <si>
    <t>ORD0458</t>
  </si>
  <si>
    <t>LEAD4286</t>
  </si>
  <si>
    <t>2027-04-04</t>
  </si>
  <si>
    <t>ORD0459</t>
  </si>
  <si>
    <t>LEAD2897</t>
  </si>
  <si>
    <t>2027-04-05</t>
  </si>
  <si>
    <t>ORD0460</t>
  </si>
  <si>
    <t>LEAD2128</t>
  </si>
  <si>
    <t>2027-04-06</t>
  </si>
  <si>
    <t>ORD0461</t>
  </si>
  <si>
    <t>LEAD4613</t>
  </si>
  <si>
    <t>2027-04-07</t>
  </si>
  <si>
    <t>ORD0462</t>
  </si>
  <si>
    <t>LEAD4778</t>
  </si>
  <si>
    <t>2027-04-08</t>
  </si>
  <si>
    <t>ORD0463</t>
  </si>
  <si>
    <t>LEAD1657</t>
  </si>
  <si>
    <t>2027-04-09</t>
  </si>
  <si>
    <t>ORD0464</t>
  </si>
  <si>
    <t>LEAD1463</t>
  </si>
  <si>
    <t>2027-04-10</t>
  </si>
  <si>
    <t>ORD0465</t>
  </si>
  <si>
    <t>2027-04-11</t>
  </si>
  <si>
    <t>ORD0466</t>
  </si>
  <si>
    <t>LEAD1662</t>
  </si>
  <si>
    <t>2027-04-12</t>
  </si>
  <si>
    <t>ORD0467</t>
  </si>
  <si>
    <t>LEAD1480</t>
  </si>
  <si>
    <t>2027-04-13</t>
  </si>
  <si>
    <t>ORD0468</t>
  </si>
  <si>
    <t>LEAD1224</t>
  </si>
  <si>
    <t>2027-04-14</t>
  </si>
  <si>
    <t>ORD0469</t>
  </si>
  <si>
    <t>LEAD2905</t>
  </si>
  <si>
    <t>2027-04-15</t>
  </si>
  <si>
    <t>ORD0470</t>
  </si>
  <si>
    <t>LEAD1088</t>
  </si>
  <si>
    <t>2027-04-16</t>
  </si>
  <si>
    <t>ORD0471</t>
  </si>
  <si>
    <t>LEAD4316</t>
  </si>
  <si>
    <t>2027-04-17</t>
  </si>
  <si>
    <t>ORD0472</t>
  </si>
  <si>
    <t>LEAD3384</t>
  </si>
  <si>
    <t>2027-04-18</t>
  </si>
  <si>
    <t>ORD0473</t>
  </si>
  <si>
    <t>LEAD1288</t>
  </si>
  <si>
    <t>2027-04-19</t>
  </si>
  <si>
    <t>ORD0474</t>
  </si>
  <si>
    <t>LEAD4324</t>
  </si>
  <si>
    <t>2027-04-20</t>
  </si>
  <si>
    <t>ORD0475</t>
  </si>
  <si>
    <t>LEAD1096</t>
  </si>
  <si>
    <t>2027-04-21</t>
  </si>
  <si>
    <t>ORD0476</t>
  </si>
  <si>
    <t>LEAD4096</t>
  </si>
  <si>
    <t>2027-04-22</t>
  </si>
  <si>
    <t>ORD0477</t>
  </si>
  <si>
    <t>LEAD2468</t>
  </si>
  <si>
    <t>2027-04-23</t>
  </si>
  <si>
    <t>ORD0478</t>
  </si>
  <si>
    <t>2027-04-24</t>
  </si>
  <si>
    <t>ORD0479</t>
  </si>
  <si>
    <t>LEAD4567</t>
  </si>
  <si>
    <t>2027-04-25</t>
  </si>
  <si>
    <t>ORD0480</t>
  </si>
  <si>
    <t>LEAD2435</t>
  </si>
  <si>
    <t>2027-04-26</t>
  </si>
  <si>
    <t>ORD0481</t>
  </si>
  <si>
    <t>LEAD2576</t>
  </si>
  <si>
    <t>2027-04-27</t>
  </si>
  <si>
    <t>ORD0482</t>
  </si>
  <si>
    <t>LEAD2827</t>
  </si>
  <si>
    <t>2027-04-28</t>
  </si>
  <si>
    <t>ORD0483</t>
  </si>
  <si>
    <t>LEAD4117</t>
  </si>
  <si>
    <t>2027-04-29</t>
  </si>
  <si>
    <t>ORD0484</t>
  </si>
  <si>
    <t>LEAD2942</t>
  </si>
  <si>
    <t>2027-04-30</t>
  </si>
  <si>
    <t>ORD0485</t>
  </si>
  <si>
    <t>LEAD1704</t>
  </si>
  <si>
    <t>2027-05-01</t>
  </si>
  <si>
    <t>ORD0486</t>
  </si>
  <si>
    <t>LEAD4664</t>
  </si>
  <si>
    <t>2027-05-02</t>
  </si>
  <si>
    <t>ORD0487</t>
  </si>
  <si>
    <t>LEAD1268</t>
  </si>
  <si>
    <t>2027-05-03</t>
  </si>
  <si>
    <t>ORD0488</t>
  </si>
  <si>
    <t>LEAD3909</t>
  </si>
  <si>
    <t>2027-05-04</t>
  </si>
  <si>
    <t>ORD0489</t>
  </si>
  <si>
    <t>LEAD3245</t>
  </si>
  <si>
    <t>2027-05-05</t>
  </si>
  <si>
    <t>ORD0490</t>
  </si>
  <si>
    <t>LEAD4826</t>
  </si>
  <si>
    <t>2027-05-06</t>
  </si>
  <si>
    <t>ORD0491</t>
  </si>
  <si>
    <t>LEAD3613</t>
  </si>
  <si>
    <t>2027-05-07</t>
  </si>
  <si>
    <t>ORD0492</t>
  </si>
  <si>
    <t>LEAD4395</t>
  </si>
  <si>
    <t>2027-05-08</t>
  </si>
  <si>
    <t>ORD0493</t>
  </si>
  <si>
    <t>2027-05-09</t>
  </si>
  <si>
    <t>ORD0494</t>
  </si>
  <si>
    <t>2027-05-10</t>
  </si>
  <si>
    <t>ORD0495</t>
  </si>
  <si>
    <t>2027-05-11</t>
  </si>
  <si>
    <t>ORD0496</t>
  </si>
  <si>
    <t>LEAD2988</t>
  </si>
  <si>
    <t>2027-05-12</t>
  </si>
  <si>
    <t>ORD0497</t>
  </si>
  <si>
    <t>LEAD3938</t>
  </si>
  <si>
    <t>2027-05-13</t>
  </si>
  <si>
    <t>ORD0498</t>
  </si>
  <si>
    <t>LEAD3542</t>
  </si>
  <si>
    <t>2027-05-14</t>
  </si>
  <si>
    <t>ORD0499</t>
  </si>
  <si>
    <t>LEAD3710</t>
  </si>
  <si>
    <t>2027-05-15</t>
  </si>
  <si>
    <t>ORD0500</t>
  </si>
  <si>
    <t>LEAD1743</t>
  </si>
  <si>
    <t>Grand Total</t>
  </si>
  <si>
    <t>Total Sales</t>
  </si>
  <si>
    <t>Total Target</t>
  </si>
  <si>
    <t>Sales by Region</t>
  </si>
  <si>
    <t>Sales by Manager</t>
  </si>
  <si>
    <t>Sales by Category</t>
  </si>
  <si>
    <t>Sales by Segment</t>
  </si>
  <si>
    <t>Top Product Sales</t>
  </si>
  <si>
    <t>Sum of Units Sold</t>
  </si>
  <si>
    <t>Total Orders</t>
  </si>
  <si>
    <t>Sum of Achievement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</si>
</sst>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Calibri"/>
      <family val="2"/>
    </font>
  </fonts>
  <fills count="3">
    <fill>
      <patternFill patternType="none"/>
    </fill>
    <fill>
      <patternFill patternType="gray125"/>
    </fill>
    <fill>
      <patternFill patternType="solid">
        <fgColor rgb="FFF2F4F8"/>
        <bgColor indexed="64"/>
      </patternFill>
    </fill>
  </fills>
  <borders count="1">
    <border>
      <left/>
      <right/>
      <top/>
      <bottom/>
      <diagonal/>
    </border>
  </borders>
  <cellStyleXfs count="1">
    <xf numFmtId="0" fontId="0" fillId="0" borderId="0"/>
  </cellStyleXfs>
  <cellXfs count="6">
    <xf numFmtId="0" fontId="0" fillId="0" borderId="0" xfId="0"/>
    <xf numFmtId="3" fontId="0" fillId="0" borderId="0" xfId="0" applyNumberFormat="1"/>
    <xf numFmtId="10" fontId="0" fillId="0" borderId="0" xfId="0" applyNumberFormat="1"/>
    <xf numFmtId="0" fontId="1" fillId="2" borderId="0" xfId="0" applyFont="1" applyFill="1"/>
    <xf numFmtId="3" fontId="1" fillId="2" borderId="0" xfId="0" applyNumberFormat="1" applyFont="1" applyFill="1"/>
    <xf numFmtId="10" fontId="1"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[Sales_Dashboard.xlsx]Pivot!pvtMonthly</c:name>
    <c:fmtId val="0"/>
  </c:pivotSource>
  <c:chart>
    <c:title>
      <c:tx>
        <c:rich>
          <a:bodyPr/>
          <a:lstStyle/>
          <a:p>
            <a:pPr>
              <a:defRPr sz="1100" b="1">
                <a:solidFill>
                  <a:srgbClr val="21040F"/>
                </a:solidFill>
                <a:latin typeface="Calibri"/>
                <a:ea typeface="Calibri"/>
                <a:cs typeface="Calibri"/>
              </a:defRPr>
            </a:pPr>
            <a:r>
              <a:rPr lang="en-US"/>
              <a:t>Monthly Sales Trend</a:t>
            </a:r>
          </a:p>
        </c:rich>
      </c:tx>
      <c:overlay val="0"/>
    </c:title>
    <c:autoTitleDeleted val="0"/>
    <c:pivotFmts>
      <c:pivotFmt>
        <c:idx val="0"/>
        <c:spPr>
          <a:ln w="28575">
            <a:solidFill>
              <a:srgbClr val="2563EB"/>
            </a:solidFill>
          </a:ln>
        </c:spPr>
        <c:marker>
          <c:symbol val="circle"/>
          <c:size val="4"/>
          <c:spPr>
            <a:solidFill>
              <a:srgbClr val="FFFFFF"/>
            </a:solidFill>
            <a:ln w="28575">
              <a:solidFill>
                <a:srgbClr val="2563EB"/>
              </a:solidFill>
              <a:prstDash val="solid"/>
            </a:ln>
          </c:spPr>
        </c:marker>
        <c:dLbl>
          <c:idx val="0"/>
          <c:numFmt formatCode="#,##0,&quot; K&quot;" sourceLinked="0"/>
          <c:spPr>
            <a:noFill/>
            <a:ln>
              <a:noFill/>
            </a:ln>
            <a:effectLst/>
          </c:spPr>
          <c:txPr>
            <a:bodyPr wrap="square" lIns="38100" tIns="19050" rIns="38100" bIns="19050" anchor="ctr">
              <a:spAutoFit/>
            </a:bodyPr>
            <a:lstStyle/>
            <a:p>
              <a:pPr>
                <a:defRPr sz="700">
                  <a:solidFill>
                    <a:srgbClr val="2563EB"/>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a:solidFill>
              <a:srgbClr val="DC2626"/>
            </a:solidFill>
            <a:prstDash val="dash"/>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Pivot!$B$2</c:f>
              <c:strCache>
                <c:ptCount val="1"/>
                <c:pt idx="0">
                  <c:v>Total Sales</c:v>
                </c:pt>
              </c:strCache>
            </c:strRef>
          </c:tx>
          <c:spPr>
            <a:ln w="28575">
              <a:solidFill>
                <a:srgbClr val="2563EB"/>
              </a:solidFill>
            </a:ln>
          </c:spPr>
          <c:marker>
            <c:symbol val="circle"/>
            <c:size val="4"/>
            <c:spPr>
              <a:solidFill>
                <a:srgbClr val="FFFFFF"/>
              </a:solidFill>
              <a:ln w="28575">
                <a:solidFill>
                  <a:srgbClr val="2563EB"/>
                </a:solidFill>
                <a:prstDash val="solid"/>
              </a:ln>
            </c:spPr>
          </c:marker>
          <c:dLbls>
            <c:numFmt formatCode="#,##0,&quot; K&quot;" sourceLinked="0"/>
            <c:spPr>
              <a:noFill/>
              <a:ln>
                <a:noFill/>
              </a:ln>
              <a:effectLst/>
            </c:spPr>
            <c:txPr>
              <a:bodyPr wrap="square" lIns="38100" tIns="19050" rIns="38100" bIns="19050" anchor="ctr">
                <a:spAutoFit/>
              </a:bodyPr>
              <a:lstStyle/>
              <a:p>
                <a:pPr>
                  <a:defRPr sz="700">
                    <a:solidFill>
                      <a:srgbClr val="2563EB"/>
                    </a:solidFil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Pivot!$B$3:$B$15</c:f>
              <c:numCache>
                <c:formatCode>#,##0</c:formatCode>
                <c:ptCount val="12"/>
                <c:pt idx="0">
                  <c:v>9493746</c:v>
                </c:pt>
                <c:pt idx="1">
                  <c:v>7469619</c:v>
                </c:pt>
                <c:pt idx="2">
                  <c:v>8819336</c:v>
                </c:pt>
                <c:pt idx="3">
                  <c:v>8476507</c:v>
                </c:pt>
                <c:pt idx="4">
                  <c:v>6649707</c:v>
                </c:pt>
                <c:pt idx="5">
                  <c:v>5093440</c:v>
                </c:pt>
                <c:pt idx="6">
                  <c:v>3925481</c:v>
                </c:pt>
                <c:pt idx="7">
                  <c:v>3595391</c:v>
                </c:pt>
                <c:pt idx="8">
                  <c:v>4710433</c:v>
                </c:pt>
                <c:pt idx="9">
                  <c:v>4845693</c:v>
                </c:pt>
                <c:pt idx="10">
                  <c:v>3461741</c:v>
                </c:pt>
                <c:pt idx="11">
                  <c:v>4637570</c:v>
                </c:pt>
              </c:numCache>
            </c:numRef>
          </c:val>
          <c:smooth val="0"/>
          <c:extLst>
            <c:ext xmlns:c16="http://schemas.microsoft.com/office/drawing/2014/chart" uri="{C3380CC4-5D6E-409C-BE32-E72D297353CC}">
              <c16:uniqueId val="{00000000-39D2-4FFF-939D-3668BCC78627}"/>
            </c:ext>
          </c:extLst>
        </c:ser>
        <c:ser>
          <c:idx val="1"/>
          <c:order val="1"/>
          <c:tx>
            <c:strRef>
              <c:f>Pivot!$C$2</c:f>
              <c:strCache>
                <c:ptCount val="1"/>
                <c:pt idx="0">
                  <c:v>Total Target</c:v>
                </c:pt>
              </c:strCache>
            </c:strRef>
          </c:tx>
          <c:spPr>
            <a:ln w="22225">
              <a:solidFill>
                <a:srgbClr val="DC2626"/>
              </a:solidFill>
              <a:prstDash val="dash"/>
            </a:ln>
          </c:spPr>
          <c:marker>
            <c:symbol val="none"/>
          </c:marker>
          <c:cat>
            <c:strRef>
              <c:f>Pivot!$A$3:$A$15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Pivot!$C$3:$C$15</c:f>
              <c:numCache>
                <c:formatCode>#,##0</c:formatCode>
                <c:ptCount val="12"/>
                <c:pt idx="0">
                  <c:v>4999321</c:v>
                </c:pt>
                <c:pt idx="1">
                  <c:v>4330573</c:v>
                </c:pt>
                <c:pt idx="2">
                  <c:v>5403755</c:v>
                </c:pt>
                <c:pt idx="3">
                  <c:v>5634820</c:v>
                </c:pt>
                <c:pt idx="4">
                  <c:v>4104414</c:v>
                </c:pt>
                <c:pt idx="5">
                  <c:v>2367743</c:v>
                </c:pt>
                <c:pt idx="6">
                  <c:v>2619776</c:v>
                </c:pt>
                <c:pt idx="7">
                  <c:v>2679841</c:v>
                </c:pt>
                <c:pt idx="8">
                  <c:v>2617244</c:v>
                </c:pt>
                <c:pt idx="9">
                  <c:v>2152060</c:v>
                </c:pt>
                <c:pt idx="10">
                  <c:v>2683220</c:v>
                </c:pt>
                <c:pt idx="11">
                  <c:v>2100562</c:v>
                </c:pt>
              </c:numCache>
            </c:numRef>
          </c:val>
          <c:smooth val="0"/>
          <c:extLst>
            <c:ext xmlns:c16="http://schemas.microsoft.com/office/drawing/2014/chart" uri="{C3380CC4-5D6E-409C-BE32-E72D297353CC}">
              <c16:uniqueId val="{00000001-39D2-4FFF-939D-3668BCC78627}"/>
            </c:ext>
          </c:extLst>
        </c:ser>
        <c:dLbls>
          <c:showLegendKey val="0"/>
          <c:showVal val="0"/>
          <c:showCatName val="0"/>
          <c:showSerName val="0"/>
          <c:showPercent val="0"/>
          <c:showBubbleSize val="0"/>
        </c:dLbls>
        <c:marker val="1"/>
        <c:smooth val="0"/>
        <c:axId val="1107884464"/>
        <c:axId val="1553465840"/>
      </c:lineChart>
      <c:catAx>
        <c:axId val="1107884464"/>
        <c:scaling>
          <c:orientation val="minMax"/>
        </c:scaling>
        <c:delete val="0"/>
        <c:axPos val="b"/>
        <c:numFmt formatCode="General" sourceLinked="1"/>
        <c:majorTickMark val="out"/>
        <c:minorTickMark val="none"/>
        <c:tickLblPos val="nextTo"/>
        <c:crossAx val="1553465840"/>
        <c:crosses val="autoZero"/>
        <c:auto val="1"/>
        <c:lblAlgn val="ctr"/>
        <c:lblOffset val="100"/>
        <c:noMultiLvlLbl val="0"/>
      </c:catAx>
      <c:valAx>
        <c:axId val="1553465840"/>
        <c:scaling>
          <c:orientation val="minMax"/>
        </c:scaling>
        <c:delete val="0"/>
        <c:axPos val="l"/>
        <c:majorGridlines>
          <c:spPr>
            <a:ln>
              <a:solidFill>
                <a:srgbClr val="E6EAF2"/>
              </a:solidFill>
            </a:ln>
          </c:spPr>
        </c:majorGridlines>
        <c:numFmt formatCode="#,##0" sourceLinked="1"/>
        <c:majorTickMark val="out"/>
        <c:minorTickMark val="none"/>
        <c:tickLblPos val="nextTo"/>
        <c:crossAx val="1107884464"/>
        <c:crosses val="autoZero"/>
        <c:crossBetween val="between"/>
      </c:valAx>
      <c:spPr>
        <a:solidFill>
          <a:srgbClr val="FAFCFF"/>
        </a:solidFill>
      </c:spPr>
    </c:plotArea>
    <c:legend>
      <c:legendPos val="b"/>
      <c:overlay val="0"/>
      <c:txPr>
        <a:bodyPr/>
        <a:lstStyle/>
        <a:p>
          <a:pPr>
            <a:defRPr sz="800">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[Sales_Dashboard.xlsx]Pivot!pvtRegion</c:name>
    <c:fmtId val="0"/>
  </c:pivotSource>
  <c:chart>
    <c:title>
      <c:tx>
        <c:rich>
          <a:bodyPr/>
          <a:lstStyle/>
          <a:p>
            <a:pPr>
              <a:defRPr sz="1100" b="1">
                <a:solidFill>
                  <a:srgbClr val="21040F"/>
                </a:solidFill>
                <a:latin typeface="Calibri"/>
                <a:ea typeface="Calibri"/>
                <a:cs typeface="Calibri"/>
              </a:defRPr>
            </a:pPr>
            <a:r>
              <a:rPr lang="en-US"/>
              <a:t>Sales by Region</a:t>
            </a:r>
          </a:p>
        </c:rich>
      </c:tx>
      <c:overlay val="0"/>
    </c:title>
    <c:autoTitleDeleted val="0"/>
    <c:pivotFmts>
      <c:pivotFmt>
        <c:idx val="0"/>
        <c:spPr>
          <a:solidFill>
            <a:srgbClr val="2563EB"/>
          </a:solidFill>
        </c:spPr>
        <c:marker>
          <c:symbol val="none"/>
        </c:marker>
        <c:dLbl>
          <c:idx val="0"/>
          <c:numFmt formatCode="#,##0,&quot; K&quot;" sourceLinked="0"/>
          <c:spPr>
            <a:noFill/>
            <a:ln>
              <a:noFill/>
            </a:ln>
            <a:effectLst/>
          </c:spPr>
          <c:txPr>
            <a:bodyPr wrap="square" lIns="38100" tIns="19050" rIns="38100" bIns="19050" anchor="ctr">
              <a:spAutoFit/>
            </a:bodyPr>
            <a:lstStyle/>
            <a:p>
              <a:pPr>
                <a:defRPr sz="800" b="1">
                  <a:solidFill>
                    <a:srgbClr val="0F204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Pivot!$B$20</c:f>
              <c:strCache>
                <c:ptCount val="1"/>
                <c:pt idx="0">
                  <c:v>Total</c:v>
                </c:pt>
              </c:strCache>
            </c:strRef>
          </c:tx>
          <c:spPr>
            <a:solidFill>
              <a:srgbClr val="2563EB"/>
            </a:solidFill>
          </c:spPr>
          <c:invertIfNegative val="0"/>
          <c:dLbls>
            <c:numFmt formatCode="#,##0,&quot; K&quot;" sourceLinked="0"/>
            <c:spPr>
              <a:noFill/>
              <a:ln>
                <a:noFill/>
              </a:ln>
              <a:effectLst/>
            </c:spPr>
            <c:txPr>
              <a:bodyPr wrap="square" lIns="38100" tIns="19050" rIns="38100" bIns="19050" anchor="ctr">
                <a:spAutoFit/>
              </a:bodyPr>
              <a:lstStyle/>
              <a:p>
                <a:pPr>
                  <a:defRPr sz="800" b="1">
                    <a:solidFill>
                      <a:srgbClr val="0F204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Pivot!$A$21:$A$25</c:f>
              <c:strCache>
                <c:ptCount val="4"/>
                <c:pt idx="0">
                  <c:v>East</c:v>
                </c:pt>
                <c:pt idx="1">
                  <c:v>North</c:v>
                </c:pt>
                <c:pt idx="2">
                  <c:v>South</c:v>
                </c:pt>
                <c:pt idx="3">
                  <c:v>West</c:v>
                </c:pt>
              </c:strCache>
            </c:strRef>
          </c:cat>
          <c:val>
            <c:numRef>
              <c:f>Pivot!$B$21:$B$25</c:f>
              <c:numCache>
                <c:formatCode>#,##0</c:formatCode>
                <c:ptCount val="4"/>
                <c:pt idx="0">
                  <c:v>18668414</c:v>
                </c:pt>
                <c:pt idx="1">
                  <c:v>17711065</c:v>
                </c:pt>
                <c:pt idx="2">
                  <c:v>17726570</c:v>
                </c:pt>
                <c:pt idx="3">
                  <c:v>17072615</c:v>
                </c:pt>
              </c:numCache>
            </c:numRef>
          </c:val>
          <c:extLst>
            <c:ext xmlns:c16="http://schemas.microsoft.com/office/drawing/2014/chart" uri="{C3380CC4-5D6E-409C-BE32-E72D297353CC}">
              <c16:uniqueId val="{00000000-0663-407A-A9C5-A6BA3F7F9599}"/>
            </c:ext>
          </c:extLst>
        </c:ser>
        <c:dLbls>
          <c:showLegendKey val="0"/>
          <c:showVal val="0"/>
          <c:showCatName val="0"/>
          <c:showSerName val="0"/>
          <c:showPercent val="0"/>
          <c:showBubbleSize val="0"/>
        </c:dLbls>
        <c:gapWidth val="150"/>
        <c:axId val="1124069536"/>
        <c:axId val="1553476880"/>
      </c:barChart>
      <c:catAx>
        <c:axId val="1124069536"/>
        <c:scaling>
          <c:orientation val="minMax"/>
        </c:scaling>
        <c:delete val="0"/>
        <c:axPos val="b"/>
        <c:numFmt formatCode="General" sourceLinked="1"/>
        <c:majorTickMark val="out"/>
        <c:minorTickMark val="none"/>
        <c:tickLblPos val="nextTo"/>
        <c:crossAx val="1553476880"/>
        <c:crosses val="autoZero"/>
        <c:auto val="1"/>
        <c:lblAlgn val="ctr"/>
        <c:lblOffset val="100"/>
        <c:noMultiLvlLbl val="0"/>
      </c:catAx>
      <c:valAx>
        <c:axId val="1553476880"/>
        <c:scaling>
          <c:orientation val="minMax"/>
        </c:scaling>
        <c:delete val="0"/>
        <c:axPos val="l"/>
        <c:majorGridlines>
          <c:spPr>
            <a:ln>
              <a:solidFill>
                <a:srgbClr val="E6EAF2"/>
              </a:solidFill>
            </a:ln>
          </c:spPr>
        </c:majorGridlines>
        <c:numFmt formatCode="#,##0" sourceLinked="1"/>
        <c:majorTickMark val="out"/>
        <c:minorTickMark val="none"/>
        <c:tickLblPos val="nextTo"/>
        <c:crossAx val="1124069536"/>
        <c:crosses val="autoZero"/>
        <c:crossBetween val="between"/>
      </c:valAx>
      <c:spPr>
        <a:solidFill>
          <a:srgbClr val="FAFC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[Sales_Dashboard.xlsx]Pivot!pvtManager</c:name>
    <c:fmtId val="0"/>
  </c:pivotSource>
  <c:chart>
    <c:title>
      <c:tx>
        <c:rich>
          <a:bodyPr/>
          <a:lstStyle/>
          <a:p>
            <a:pPr>
              <a:defRPr sz="1100" b="1">
                <a:solidFill>
                  <a:srgbClr val="21040F"/>
                </a:solidFill>
                <a:latin typeface="Calibri"/>
                <a:ea typeface="Calibri"/>
                <a:cs typeface="Calibri"/>
              </a:defRPr>
            </a:pPr>
            <a:r>
              <a:rPr lang="en-US"/>
              <a:t>Sales by Manager</a:t>
            </a:r>
          </a:p>
        </c:rich>
      </c:tx>
      <c:overlay val="0"/>
    </c:title>
    <c:autoTitleDeleted val="0"/>
    <c:pivotFmts>
      <c:pivotFmt>
        <c:idx val="0"/>
        <c:spPr>
          <a:solidFill>
            <a:srgbClr val="059669"/>
          </a:solidFill>
        </c:spPr>
        <c:marker>
          <c:symbol val="none"/>
        </c:marker>
        <c:dLbl>
          <c:idx val="0"/>
          <c:numFmt formatCode="#,##0,&quot; K&quot;" sourceLinked="0"/>
          <c:spPr>
            <a:noFill/>
            <a:ln>
              <a:noFill/>
            </a:ln>
            <a:effectLst/>
          </c:spPr>
          <c:txPr>
            <a:bodyPr wrap="square" lIns="38100" tIns="19050" rIns="38100" bIns="19050" anchor="ctr">
              <a:spAutoFit/>
            </a:bodyPr>
            <a:lstStyle/>
            <a:p>
              <a:pPr>
                <a:defRPr sz="800" b="1">
                  <a:solidFill>
                    <a:srgbClr val="0F204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Pivot!$B$35</c:f>
              <c:strCache>
                <c:ptCount val="1"/>
                <c:pt idx="0">
                  <c:v>Total</c:v>
                </c:pt>
              </c:strCache>
            </c:strRef>
          </c:tx>
          <c:spPr>
            <a:solidFill>
              <a:srgbClr val="059669"/>
            </a:solidFill>
          </c:spPr>
          <c:invertIfNegative val="0"/>
          <c:dLbls>
            <c:numFmt formatCode="#,##0,&quot; K&quot;" sourceLinked="0"/>
            <c:spPr>
              <a:noFill/>
              <a:ln>
                <a:noFill/>
              </a:ln>
              <a:effectLst/>
            </c:spPr>
            <c:txPr>
              <a:bodyPr wrap="square" lIns="38100" tIns="19050" rIns="38100" bIns="19050" anchor="ctr">
                <a:spAutoFit/>
              </a:bodyPr>
              <a:lstStyle/>
              <a:p>
                <a:pPr>
                  <a:defRPr sz="800" b="1">
                    <a:solidFill>
                      <a:srgbClr val="0F204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Pivot!$A$36:$A$44</c:f>
              <c:strCache>
                <c:ptCount val="8"/>
                <c:pt idx="0">
                  <c:v>Manager_1</c:v>
                </c:pt>
                <c:pt idx="1">
                  <c:v>Manager_2</c:v>
                </c:pt>
                <c:pt idx="2">
                  <c:v>Manager_3</c:v>
                </c:pt>
                <c:pt idx="3">
                  <c:v>Manager_4</c:v>
                </c:pt>
                <c:pt idx="4">
                  <c:v>Manager_5</c:v>
                </c:pt>
                <c:pt idx="5">
                  <c:v>Manager_6</c:v>
                </c:pt>
                <c:pt idx="6">
                  <c:v>Manager_7</c:v>
                </c:pt>
                <c:pt idx="7">
                  <c:v>Manager_8</c:v>
                </c:pt>
              </c:strCache>
            </c:strRef>
          </c:cat>
          <c:val>
            <c:numRef>
              <c:f>Pivot!$B$36:$B$44</c:f>
              <c:numCache>
                <c:formatCode>#,##0</c:formatCode>
                <c:ptCount val="8"/>
                <c:pt idx="0">
                  <c:v>10984676</c:v>
                </c:pt>
                <c:pt idx="1">
                  <c:v>10081357</c:v>
                </c:pt>
                <c:pt idx="2">
                  <c:v>7783994</c:v>
                </c:pt>
                <c:pt idx="3">
                  <c:v>7270437</c:v>
                </c:pt>
                <c:pt idx="4">
                  <c:v>8886747</c:v>
                </c:pt>
                <c:pt idx="5">
                  <c:v>9535030</c:v>
                </c:pt>
                <c:pt idx="6">
                  <c:v>7397476</c:v>
                </c:pt>
                <c:pt idx="7">
                  <c:v>9238947</c:v>
                </c:pt>
              </c:numCache>
            </c:numRef>
          </c:val>
          <c:extLst>
            <c:ext xmlns:c16="http://schemas.microsoft.com/office/drawing/2014/chart" uri="{C3380CC4-5D6E-409C-BE32-E72D297353CC}">
              <c16:uniqueId val="{00000000-1605-464B-B118-668AF2865D63}"/>
            </c:ext>
          </c:extLst>
        </c:ser>
        <c:dLbls>
          <c:showLegendKey val="0"/>
          <c:showVal val="0"/>
          <c:showCatName val="0"/>
          <c:showSerName val="0"/>
          <c:showPercent val="0"/>
          <c:showBubbleSize val="0"/>
        </c:dLbls>
        <c:gapWidth val="150"/>
        <c:axId val="1124065360"/>
        <c:axId val="1553467280"/>
      </c:barChart>
      <c:catAx>
        <c:axId val="1124065360"/>
        <c:scaling>
          <c:orientation val="minMax"/>
        </c:scaling>
        <c:delete val="0"/>
        <c:axPos val="l"/>
        <c:numFmt formatCode="General" sourceLinked="1"/>
        <c:majorTickMark val="out"/>
        <c:minorTickMark val="none"/>
        <c:tickLblPos val="nextTo"/>
        <c:crossAx val="1553467280"/>
        <c:crosses val="autoZero"/>
        <c:auto val="1"/>
        <c:lblAlgn val="ctr"/>
        <c:lblOffset val="100"/>
        <c:noMultiLvlLbl val="0"/>
      </c:catAx>
      <c:valAx>
        <c:axId val="1553467280"/>
        <c:scaling>
          <c:orientation val="minMax"/>
        </c:scaling>
        <c:delete val="0"/>
        <c:axPos val="b"/>
        <c:majorGridlines>
          <c:spPr>
            <a:ln>
              <a:solidFill>
                <a:srgbClr val="E6EAF2"/>
              </a:solidFill>
            </a:ln>
          </c:spPr>
        </c:majorGridlines>
        <c:numFmt formatCode="#,##0" sourceLinked="1"/>
        <c:majorTickMark val="out"/>
        <c:minorTickMark val="none"/>
        <c:tickLblPos val="nextTo"/>
        <c:crossAx val="1124065360"/>
        <c:crosses val="autoZero"/>
        <c:crossBetween val="between"/>
      </c:valAx>
      <c:spPr>
        <a:solidFill>
          <a:srgbClr val="FAFC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[Sales_Dashboard.xlsx]Pivot!pvtCategory</c:name>
    <c:fmtId val="0"/>
  </c:pivotSource>
  <c:chart>
    <c:title>
      <c:tx>
        <c:rich>
          <a:bodyPr/>
          <a:lstStyle/>
          <a:p>
            <a:pPr>
              <a:defRPr sz="1100" b="1">
                <a:solidFill>
                  <a:srgbClr val="21040F"/>
                </a:solidFill>
                <a:latin typeface="Calibri"/>
                <a:ea typeface="Calibri"/>
                <a:cs typeface="Calibri"/>
              </a:defRPr>
            </a:pPr>
            <a:r>
              <a:rPr lang="en-US"/>
              <a:t>Category Contribution</a:t>
            </a:r>
          </a:p>
        </c:rich>
      </c:tx>
      <c:overlay val="0"/>
    </c:title>
    <c:autoTitleDeleted val="0"/>
    <c:pivotFmts>
      <c:pivotFmt>
        <c:idx val="0"/>
        <c:marker>
          <c:symbol val="none"/>
        </c:marker>
        <c:dLbl>
          <c:idx val="0"/>
          <c:numFmt formatCode="0%" sourceLinked="0"/>
          <c:spPr>
            <a:noFill/>
            <a:ln>
              <a:noFill/>
            </a:ln>
            <a:effectLst/>
          </c:spPr>
          <c:txPr>
            <a:bodyPr wrap="square" lIns="38100" tIns="19050" rIns="38100" bIns="19050" anchor="ctr">
              <a:spAutoFit/>
            </a:bodyPr>
            <a:lstStyle/>
            <a:p>
              <a:pPr>
                <a:defRPr sz="800" b="1">
                  <a:solidFill>
                    <a:srgbClr val="FFFFFF"/>
                  </a:solidFill>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2563EB"/>
          </a:solidFill>
        </c:spPr>
      </c:pivotFmt>
      <c:pivotFmt>
        <c:idx val="2"/>
        <c:spPr>
          <a:solidFill>
            <a:srgbClr val="059669"/>
          </a:solidFill>
        </c:spPr>
      </c:pivotFmt>
      <c:pivotFmt>
        <c:idx val="3"/>
        <c:spPr>
          <a:solidFill>
            <a:srgbClr val="F59E0B"/>
          </a:solidFill>
        </c:spPr>
      </c:pivotFmt>
      <c:pivotFmt>
        <c:idx val="4"/>
        <c:spPr>
          <a:solidFill>
            <a:srgbClr val="DC2626"/>
          </a:solidFill>
        </c:spPr>
      </c:pivotFmt>
    </c:pivotFmts>
    <c:plotArea>
      <c:layout>
        <c:manualLayout>
          <c:xMode val="edge"/>
          <c:yMode val="edge"/>
          <c:x val="1.7091929345732382E-2"/>
          <c:y val="0.24162772779129185"/>
          <c:w val="0.72359894050317375"/>
          <c:h val="0.75837227220870818"/>
        </c:manualLayout>
      </c:layout>
      <c:doughnutChart>
        <c:varyColors val="1"/>
        <c:ser>
          <c:idx val="0"/>
          <c:order val="0"/>
          <c:tx>
            <c:strRef>
              <c:f>Pivot!$G$2</c:f>
              <c:strCache>
                <c:ptCount val="1"/>
                <c:pt idx="0">
                  <c:v>Total</c:v>
                </c:pt>
              </c:strCache>
            </c:strRef>
          </c:tx>
          <c:dPt>
            <c:idx val="0"/>
            <c:bubble3D val="0"/>
            <c:spPr>
              <a:solidFill>
                <a:srgbClr val="2563EB"/>
              </a:solidFill>
            </c:spPr>
            <c:extLst>
              <c:ext xmlns:c16="http://schemas.microsoft.com/office/drawing/2014/chart" uri="{C3380CC4-5D6E-409C-BE32-E72D297353CC}">
                <c16:uniqueId val="{00000001-BD0A-4972-BC1C-D0F08B9940FC}"/>
              </c:ext>
            </c:extLst>
          </c:dPt>
          <c:dPt>
            <c:idx val="1"/>
            <c:bubble3D val="0"/>
            <c:spPr>
              <a:solidFill>
                <a:srgbClr val="059669"/>
              </a:solidFill>
            </c:spPr>
            <c:extLst>
              <c:ext xmlns:c16="http://schemas.microsoft.com/office/drawing/2014/chart" uri="{C3380CC4-5D6E-409C-BE32-E72D297353CC}">
                <c16:uniqueId val="{00000002-BD0A-4972-BC1C-D0F08B9940FC}"/>
              </c:ext>
            </c:extLst>
          </c:dPt>
          <c:dPt>
            <c:idx val="2"/>
            <c:bubble3D val="0"/>
            <c:spPr>
              <a:solidFill>
                <a:srgbClr val="F59E0B"/>
              </a:solidFill>
            </c:spPr>
            <c:extLst>
              <c:ext xmlns:c16="http://schemas.microsoft.com/office/drawing/2014/chart" uri="{C3380CC4-5D6E-409C-BE32-E72D297353CC}">
                <c16:uniqueId val="{00000003-BD0A-4972-BC1C-D0F08B9940FC}"/>
              </c:ext>
            </c:extLst>
          </c:dPt>
          <c:dPt>
            <c:idx val="3"/>
            <c:bubble3D val="0"/>
            <c:spPr>
              <a:solidFill>
                <a:srgbClr val="DC2626"/>
              </a:solidFill>
            </c:spPr>
            <c:extLst>
              <c:ext xmlns:c16="http://schemas.microsoft.com/office/drawing/2014/chart" uri="{C3380CC4-5D6E-409C-BE32-E72D297353CC}">
                <c16:uniqueId val="{00000004-BD0A-4972-BC1C-D0F08B9940FC}"/>
              </c:ext>
            </c:extLst>
          </c:dPt>
          <c:dLbls>
            <c:numFmt formatCode="0%" sourceLinked="0"/>
            <c:spPr>
              <a:noFill/>
              <a:ln>
                <a:noFill/>
              </a:ln>
              <a:effectLst/>
            </c:spPr>
            <c:txPr>
              <a:bodyPr wrap="square" lIns="38100" tIns="19050" rIns="38100" bIns="19050" anchor="ctr">
                <a:spAutoFit/>
              </a:bodyPr>
              <a:lstStyle/>
              <a:p>
                <a:pPr>
                  <a:defRPr sz="800" b="1">
                    <a:solidFill>
                      <a:srgbClr val="FFFFFF"/>
                    </a:solidFill>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Pivot!$F$3:$F$7</c:f>
              <c:strCache>
                <c:ptCount val="4"/>
                <c:pt idx="0">
                  <c:v>Accessories</c:v>
                </c:pt>
                <c:pt idx="1">
                  <c:v>Clothing</c:v>
                </c:pt>
                <c:pt idx="2">
                  <c:v>Electronics</c:v>
                </c:pt>
                <c:pt idx="3">
                  <c:v>Furniture</c:v>
                </c:pt>
              </c:strCache>
            </c:strRef>
          </c:cat>
          <c:val>
            <c:numRef>
              <c:f>Pivot!$G$3:$G$7</c:f>
              <c:numCache>
                <c:formatCode>#,##0</c:formatCode>
                <c:ptCount val="4"/>
                <c:pt idx="0">
                  <c:v>18170756</c:v>
                </c:pt>
                <c:pt idx="1">
                  <c:v>16923957</c:v>
                </c:pt>
                <c:pt idx="2">
                  <c:v>20510561</c:v>
                </c:pt>
                <c:pt idx="3">
                  <c:v>15573390</c:v>
                </c:pt>
              </c:numCache>
            </c:numRef>
          </c:val>
          <c:extLst>
            <c:ext xmlns:c16="http://schemas.microsoft.com/office/drawing/2014/chart" uri="{C3380CC4-5D6E-409C-BE32-E72D297353CC}">
              <c16:uniqueId val="{00000000-BD0A-4972-BC1C-D0F08B9940FC}"/>
            </c:ext>
          </c:extLst>
        </c:ser>
        <c:dLbls>
          <c:showLegendKey val="0"/>
          <c:showVal val="0"/>
          <c:showCatName val="0"/>
          <c:showSerName val="0"/>
          <c:showPercent val="0"/>
          <c:showBubbleSize val="0"/>
          <c:showLeaderLines val="0"/>
        </c:dLbls>
        <c:firstSliceAng val="0"/>
        <c:holeSize val="50"/>
      </c:doughnutChart>
      <c:spPr>
        <a:solidFill>
          <a:srgbClr val="FFFFFF"/>
        </a:solidFill>
      </c:spPr>
    </c:plotArea>
    <c:legend>
      <c:legendPos val="r"/>
      <c:overlay val="0"/>
      <c:txPr>
        <a:bodyPr/>
        <a:lstStyle/>
        <a:p>
          <a:pPr>
            <a:defRPr sz="900">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[Sales_Dashboard.xlsx]Pivot!pvtTopProducts</c:name>
    <c:fmtId val="0"/>
  </c:pivotSource>
  <c:chart>
    <c:title>
      <c:tx>
        <c:rich>
          <a:bodyPr/>
          <a:lstStyle/>
          <a:p>
            <a:pPr>
              <a:defRPr sz="1100" b="1">
                <a:solidFill>
                  <a:srgbClr val="21040F"/>
                </a:solidFill>
                <a:latin typeface="Calibri"/>
                <a:ea typeface="Calibri"/>
                <a:cs typeface="Calibri"/>
              </a:defRPr>
            </a:pPr>
            <a:r>
              <a:rPr lang="en-US"/>
              <a:t>Top 10 Products by Sales</a:t>
            </a:r>
          </a:p>
        </c:rich>
      </c:tx>
      <c:overlay val="0"/>
    </c:title>
    <c:autoTitleDeleted val="0"/>
    <c:pivotFmts>
      <c:pivotFmt>
        <c:idx val="0"/>
        <c:spPr>
          <a:solidFill>
            <a:srgbClr val="F59E0B"/>
          </a:solidFill>
        </c:spPr>
        <c:marker>
          <c:symbol val="none"/>
        </c:marker>
        <c:dLbl>
          <c:idx val="0"/>
          <c:numFmt formatCode="#,##0,&quot; K&quot;" sourceLinked="0"/>
          <c:spPr>
            <a:noFill/>
            <a:ln>
              <a:noFill/>
            </a:ln>
            <a:effectLst/>
          </c:spPr>
          <c:txPr>
            <a:bodyPr wrap="square" lIns="38100" tIns="19050" rIns="38100" bIns="19050" anchor="ctr">
              <a:spAutoFit/>
            </a:bodyPr>
            <a:lstStyle/>
            <a:p>
              <a:pPr>
                <a:defRPr sz="700" b="1">
                  <a:solidFill>
                    <a:srgbClr val="B46E00"/>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Pivot!$G$35</c:f>
              <c:strCache>
                <c:ptCount val="1"/>
                <c:pt idx="0">
                  <c:v>Total</c:v>
                </c:pt>
              </c:strCache>
            </c:strRef>
          </c:tx>
          <c:spPr>
            <a:solidFill>
              <a:srgbClr val="F59E0B"/>
            </a:solidFill>
          </c:spPr>
          <c:invertIfNegative val="0"/>
          <c:dLbls>
            <c:numFmt formatCode="#,##0,&quot; K&quot;" sourceLinked="0"/>
            <c:spPr>
              <a:noFill/>
              <a:ln>
                <a:noFill/>
              </a:ln>
              <a:effectLst/>
            </c:spPr>
            <c:txPr>
              <a:bodyPr wrap="square" lIns="38100" tIns="19050" rIns="38100" bIns="19050" anchor="ctr">
                <a:spAutoFit/>
              </a:bodyPr>
              <a:lstStyle/>
              <a:p>
                <a:pPr>
                  <a:defRPr sz="700" b="1">
                    <a:solidFill>
                      <a:srgbClr val="B46E00"/>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Pivot!$F$36:$F$44</c:f>
              <c:strCache>
                <c:ptCount val="8"/>
                <c:pt idx="0">
                  <c:v>Chair</c:v>
                </c:pt>
                <c:pt idx="1">
                  <c:v>Headphones</c:v>
                </c:pt>
                <c:pt idx="2">
                  <c:v>Laptop</c:v>
                </c:pt>
                <c:pt idx="3">
                  <c:v>Phone</c:v>
                </c:pt>
                <c:pt idx="4">
                  <c:v>Shirt</c:v>
                </c:pt>
                <c:pt idx="5">
                  <c:v>Shoes</c:v>
                </c:pt>
                <c:pt idx="6">
                  <c:v>Table</c:v>
                </c:pt>
                <c:pt idx="7">
                  <c:v>Watch</c:v>
                </c:pt>
              </c:strCache>
            </c:strRef>
          </c:cat>
          <c:val>
            <c:numRef>
              <c:f>Pivot!$G$36:$G$44</c:f>
              <c:numCache>
                <c:formatCode>#,##0</c:formatCode>
                <c:ptCount val="8"/>
                <c:pt idx="0">
                  <c:v>8039395</c:v>
                </c:pt>
                <c:pt idx="1">
                  <c:v>10370889</c:v>
                </c:pt>
                <c:pt idx="2">
                  <c:v>10094895</c:v>
                </c:pt>
                <c:pt idx="3">
                  <c:v>9768248</c:v>
                </c:pt>
                <c:pt idx="4">
                  <c:v>10289900</c:v>
                </c:pt>
                <c:pt idx="5">
                  <c:v>8487481</c:v>
                </c:pt>
                <c:pt idx="6">
                  <c:v>8442177</c:v>
                </c:pt>
                <c:pt idx="7">
                  <c:v>5685679</c:v>
                </c:pt>
              </c:numCache>
            </c:numRef>
          </c:val>
          <c:extLst>
            <c:ext xmlns:c16="http://schemas.microsoft.com/office/drawing/2014/chart" uri="{C3380CC4-5D6E-409C-BE32-E72D297353CC}">
              <c16:uniqueId val="{00000000-EF68-46EE-9FB9-4D56216583D2}"/>
            </c:ext>
          </c:extLst>
        </c:ser>
        <c:dLbls>
          <c:showLegendKey val="0"/>
          <c:showVal val="0"/>
          <c:showCatName val="0"/>
          <c:showSerName val="0"/>
          <c:showPercent val="0"/>
          <c:showBubbleSize val="0"/>
        </c:dLbls>
        <c:gapWidth val="150"/>
        <c:axId val="645916096"/>
        <c:axId val="1553477840"/>
      </c:barChart>
      <c:catAx>
        <c:axId val="645916096"/>
        <c:scaling>
          <c:orientation val="minMax"/>
        </c:scaling>
        <c:delete val="0"/>
        <c:axPos val="b"/>
        <c:numFmt formatCode="General" sourceLinked="1"/>
        <c:majorTickMark val="out"/>
        <c:minorTickMark val="none"/>
        <c:tickLblPos val="low"/>
        <c:txPr>
          <a:bodyPr rot="-2700000" vert="horz"/>
          <a:lstStyle/>
          <a:p>
            <a:pPr>
              <a:defRPr/>
            </a:pPr>
            <a:endParaRPr lang="en-US"/>
          </a:p>
        </c:txPr>
        <c:crossAx val="1553477840"/>
        <c:crosses val="autoZero"/>
        <c:auto val="1"/>
        <c:lblAlgn val="ctr"/>
        <c:lblOffset val="100"/>
        <c:noMultiLvlLbl val="0"/>
      </c:catAx>
      <c:valAx>
        <c:axId val="1553477840"/>
        <c:scaling>
          <c:orientation val="minMax"/>
        </c:scaling>
        <c:delete val="0"/>
        <c:axPos val="l"/>
        <c:majorGridlines>
          <c:spPr>
            <a:ln>
              <a:solidFill>
                <a:srgbClr val="E6EAF2"/>
              </a:solidFill>
            </a:ln>
          </c:spPr>
        </c:majorGridlines>
        <c:numFmt formatCode="#,##0" sourceLinked="1"/>
        <c:majorTickMark val="out"/>
        <c:minorTickMark val="none"/>
        <c:tickLblPos val="nextTo"/>
        <c:crossAx val="645916096"/>
        <c:crosses val="autoZero"/>
        <c:crossBetween val="between"/>
      </c:valAx>
      <c:spPr>
        <a:solidFill>
          <a:srgbClr val="FAFC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19</xdr:col>
      <xdr:colOff>0</xdr:colOff>
      <xdr:row>3</xdr:row>
      <xdr:rowOff>0</xdr:rowOff>
    </xdr:from>
    <xdr:to>
      <xdr:col>22</xdr:col>
      <xdr:colOff>0</xdr:colOff>
      <xdr:row>40</xdr:row>
      <xdr:rowOff>0</xdr:rowOff>
    </xdr:to>
    <xdr:sp macro="" textlink="">
      <xdr:nvSpPr>
        <xdr:cNvPr id="28" name="SlicerPanel_BG">
          <a:extLst>
            <a:ext uri="{FF2B5EF4-FFF2-40B4-BE49-F238E27FC236}">
              <a16:creationId xmlns:a16="http://schemas.microsoft.com/office/drawing/2014/main" id="{18009023-962F-26B8-3F19-0AC8AC8830BC}"/>
            </a:ext>
          </a:extLst>
        </xdr:cNvPr>
        <xdr:cNvSpPr/>
      </xdr:nvSpPr>
      <xdr:spPr>
        <a:xfrm>
          <a:off x="11186160" y="502920"/>
          <a:ext cx="1851660" cy="6035040"/>
        </a:xfrm>
        <a:prstGeom prst="rect">
          <a:avLst/>
        </a:prstGeom>
        <a:solidFill>
          <a:srgbClr val="FFFFFF"/>
        </a:solidFill>
        <a:ln w="9525">
          <a:solidFill>
            <a:srgbClr val="D2DAE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22</xdr:col>
      <xdr:colOff>0</xdr:colOff>
      <xdr:row>3</xdr:row>
      <xdr:rowOff>0</xdr:rowOff>
    </xdr:to>
    <xdr:sp macro="" textlink="">
      <xdr:nvSpPr>
        <xdr:cNvPr id="2" name="HeaderBanner">
          <a:extLst>
            <a:ext uri="{FF2B5EF4-FFF2-40B4-BE49-F238E27FC236}">
              <a16:creationId xmlns:a16="http://schemas.microsoft.com/office/drawing/2014/main" id="{72DB116E-5B75-0B28-530B-5D270E1A2FF3}"/>
            </a:ext>
          </a:extLst>
        </xdr:cNvPr>
        <xdr:cNvSpPr/>
      </xdr:nvSpPr>
      <xdr:spPr>
        <a:xfrm>
          <a:off x="0" y="0"/>
          <a:ext cx="13037820" cy="502920"/>
        </a:xfrm>
        <a:prstGeom prst="rect">
          <a:avLst/>
        </a:prstGeom>
        <a:solidFill>
          <a:srgbClr val="0B76A0"/>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3600" b="1">
              <a:solidFill>
                <a:srgbClr val="FFFFFF"/>
              </a:solidFill>
              <a:latin typeface="Calibri" panose="020F0502020204030204" pitchFamily="34" charset="0"/>
            </a:rPr>
            <a:t>Sales &amp; Target Performance Dashboard</a:t>
          </a:r>
        </a:p>
      </xdr:txBody>
    </xdr:sp>
    <xdr:clientData/>
  </xdr:twoCellAnchor>
  <xdr:twoCellAnchor>
    <xdr:from>
      <xdr:col>0</xdr:col>
      <xdr:colOff>63500</xdr:colOff>
      <xdr:row>3</xdr:row>
      <xdr:rowOff>50800</xdr:rowOff>
    </xdr:from>
    <xdr:to>
      <xdr:col>3</xdr:col>
      <xdr:colOff>320040</xdr:colOff>
      <xdr:row>9</xdr:row>
      <xdr:rowOff>124460</xdr:rowOff>
    </xdr:to>
    <xdr:sp macro="" textlink="">
      <xdr:nvSpPr>
        <xdr:cNvPr id="3" name="KPI_Card_0">
          <a:extLst>
            <a:ext uri="{FF2B5EF4-FFF2-40B4-BE49-F238E27FC236}">
              <a16:creationId xmlns:a16="http://schemas.microsoft.com/office/drawing/2014/main" id="{B34FA0CC-3B96-A8AE-D55E-CB304388F638}"/>
            </a:ext>
          </a:extLst>
        </xdr:cNvPr>
        <xdr:cNvSpPr/>
      </xdr:nvSpPr>
      <xdr:spPr>
        <a:xfrm>
          <a:off x="63500" y="553720"/>
          <a:ext cx="2108200" cy="1079500"/>
        </a:xfrm>
        <a:prstGeom prst="roundRect">
          <a:avLst/>
        </a:prstGeom>
        <a:solidFill>
          <a:srgbClr val="FFFFFF"/>
        </a:solidFill>
        <a:ln w="9525">
          <a:solidFill>
            <a:srgbClr val="DAE0EB"/>
          </a:solidFill>
        </a:ln>
        <a:effectLst>
          <a:outerShdw blurRad="50800" dist="28398" dir="3806103" algn="tl">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63500</xdr:colOff>
      <xdr:row>3</xdr:row>
      <xdr:rowOff>50800</xdr:rowOff>
    </xdr:from>
    <xdr:to>
      <xdr:col>3</xdr:col>
      <xdr:colOff>320040</xdr:colOff>
      <xdr:row>4</xdr:row>
      <xdr:rowOff>35560</xdr:rowOff>
    </xdr:to>
    <xdr:sp macro="" textlink="">
      <xdr:nvSpPr>
        <xdr:cNvPr id="4" name="KPI_Accent_0">
          <a:extLst>
            <a:ext uri="{FF2B5EF4-FFF2-40B4-BE49-F238E27FC236}">
              <a16:creationId xmlns:a16="http://schemas.microsoft.com/office/drawing/2014/main" id="{2CDC9BFA-C5BE-8A72-B1AA-C908A5A42B48}"/>
            </a:ext>
          </a:extLst>
        </xdr:cNvPr>
        <xdr:cNvSpPr/>
      </xdr:nvSpPr>
      <xdr:spPr>
        <a:xfrm>
          <a:off x="63500" y="553720"/>
          <a:ext cx="2108200" cy="152400"/>
        </a:xfrm>
        <a:prstGeom prst="rect">
          <a:avLst/>
        </a:prstGeom>
        <a:solidFill>
          <a:srgbClr val="2563EB"/>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139700</xdr:colOff>
      <xdr:row>4</xdr:row>
      <xdr:rowOff>99060</xdr:rowOff>
    </xdr:from>
    <xdr:to>
      <xdr:col>3</xdr:col>
      <xdr:colOff>243840</xdr:colOff>
      <xdr:row>6</xdr:row>
      <xdr:rowOff>43180</xdr:rowOff>
    </xdr:to>
    <xdr:sp macro="" textlink="">
      <xdr:nvSpPr>
        <xdr:cNvPr id="5" name="KPI_Title_0">
          <a:extLst>
            <a:ext uri="{FF2B5EF4-FFF2-40B4-BE49-F238E27FC236}">
              <a16:creationId xmlns:a16="http://schemas.microsoft.com/office/drawing/2014/main" id="{D06A9B47-CBE6-E93C-BA17-E88D61EBE2D1}"/>
            </a:ext>
          </a:extLst>
        </xdr:cNvPr>
        <xdr:cNvSpPr txBox="1"/>
      </xdr:nvSpPr>
      <xdr:spPr>
        <a:xfrm>
          <a:off x="139700" y="769620"/>
          <a:ext cx="1955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2000" b="1">
              <a:solidFill>
                <a:srgbClr val="0A0A0A"/>
              </a:solidFill>
              <a:latin typeface="Calibri" panose="020F0502020204030204" pitchFamily="34" charset="0"/>
            </a:rPr>
            <a:t>Total Sales</a:t>
          </a:r>
        </a:p>
      </xdr:txBody>
    </xdr:sp>
    <xdr:clientData/>
  </xdr:twoCellAnchor>
  <xdr:twoCellAnchor>
    <xdr:from>
      <xdr:col>0</xdr:col>
      <xdr:colOff>114300</xdr:colOff>
      <xdr:row>6</xdr:row>
      <xdr:rowOff>81280</xdr:rowOff>
    </xdr:from>
    <xdr:to>
      <xdr:col>3</xdr:col>
      <xdr:colOff>269240</xdr:colOff>
      <xdr:row>9</xdr:row>
      <xdr:rowOff>86360</xdr:rowOff>
    </xdr:to>
    <xdr:sp macro="" textlink="Pivot!L5">
      <xdr:nvSpPr>
        <xdr:cNvPr id="6" name="KPI_Value_0">
          <a:extLst>
            <a:ext uri="{FF2B5EF4-FFF2-40B4-BE49-F238E27FC236}">
              <a16:creationId xmlns:a16="http://schemas.microsoft.com/office/drawing/2014/main" id="{1D576E68-1FC2-5868-B3D9-B1E63C2D8B41}"/>
            </a:ext>
          </a:extLst>
        </xdr:cNvPr>
        <xdr:cNvSpPr txBox="1"/>
      </xdr:nvSpPr>
      <xdr:spPr>
        <a:xfrm>
          <a:off x="114300" y="1087120"/>
          <a:ext cx="20066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39DE60DE-1816-4567-B9A0-B3BAA516B40C}" type="TxLink">
            <a:rPr lang="en-US" sz="2400" b="1" i="0" u="none" strike="noStrike">
              <a:solidFill>
                <a:srgbClr val="0F2041"/>
              </a:solidFill>
              <a:latin typeface="Calibri" panose="020F0502020204030204" pitchFamily="34" charset="0"/>
            </a:rPr>
            <a:pPr algn="ctr"/>
            <a:t>71,178,664</a:t>
          </a:fld>
          <a:endParaRPr lang="en-US" sz="2400" b="1">
            <a:solidFill>
              <a:srgbClr val="0F2041"/>
            </a:solidFill>
            <a:latin typeface="Calibri" panose="020F0502020204030204" pitchFamily="34" charset="0"/>
          </a:endParaRPr>
        </a:p>
      </xdr:txBody>
    </xdr:sp>
    <xdr:clientData/>
  </xdr:twoCellAnchor>
  <xdr:twoCellAnchor>
    <xdr:from>
      <xdr:col>3</xdr:col>
      <xdr:colOff>421640</xdr:colOff>
      <xdr:row>3</xdr:row>
      <xdr:rowOff>50800</xdr:rowOff>
    </xdr:from>
    <xdr:to>
      <xdr:col>7</xdr:col>
      <xdr:colOff>60960</xdr:colOff>
      <xdr:row>9</xdr:row>
      <xdr:rowOff>124460</xdr:rowOff>
    </xdr:to>
    <xdr:sp macro="" textlink="">
      <xdr:nvSpPr>
        <xdr:cNvPr id="7" name="KPI_Card_1">
          <a:extLst>
            <a:ext uri="{FF2B5EF4-FFF2-40B4-BE49-F238E27FC236}">
              <a16:creationId xmlns:a16="http://schemas.microsoft.com/office/drawing/2014/main" id="{FAFA794B-8048-32AF-24D4-8127E034FC3D}"/>
            </a:ext>
          </a:extLst>
        </xdr:cNvPr>
        <xdr:cNvSpPr/>
      </xdr:nvSpPr>
      <xdr:spPr>
        <a:xfrm>
          <a:off x="2273300" y="553720"/>
          <a:ext cx="2108200" cy="1079500"/>
        </a:xfrm>
        <a:prstGeom prst="roundRect">
          <a:avLst/>
        </a:prstGeom>
        <a:solidFill>
          <a:srgbClr val="FFFFFF"/>
        </a:solidFill>
        <a:ln w="9525">
          <a:solidFill>
            <a:srgbClr val="DAE0EB"/>
          </a:solidFill>
        </a:ln>
        <a:effectLst>
          <a:outerShdw blurRad="50800" dist="28398" dir="3806103" algn="tl">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421640</xdr:colOff>
      <xdr:row>3</xdr:row>
      <xdr:rowOff>50800</xdr:rowOff>
    </xdr:from>
    <xdr:to>
      <xdr:col>7</xdr:col>
      <xdr:colOff>60960</xdr:colOff>
      <xdr:row>4</xdr:row>
      <xdr:rowOff>35560</xdr:rowOff>
    </xdr:to>
    <xdr:sp macro="" textlink="">
      <xdr:nvSpPr>
        <xdr:cNvPr id="8" name="KPI_Accent_1">
          <a:extLst>
            <a:ext uri="{FF2B5EF4-FFF2-40B4-BE49-F238E27FC236}">
              <a16:creationId xmlns:a16="http://schemas.microsoft.com/office/drawing/2014/main" id="{F9DBF073-0331-597F-53C2-B6E1637DDD50}"/>
            </a:ext>
          </a:extLst>
        </xdr:cNvPr>
        <xdr:cNvSpPr/>
      </xdr:nvSpPr>
      <xdr:spPr>
        <a:xfrm>
          <a:off x="2273300" y="553720"/>
          <a:ext cx="2108200" cy="152400"/>
        </a:xfrm>
        <a:prstGeom prst="rect">
          <a:avLst/>
        </a:prstGeom>
        <a:solidFill>
          <a:srgbClr val="059669"/>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497840</xdr:colOff>
      <xdr:row>4</xdr:row>
      <xdr:rowOff>99060</xdr:rowOff>
    </xdr:from>
    <xdr:to>
      <xdr:col>6</xdr:col>
      <xdr:colOff>601980</xdr:colOff>
      <xdr:row>6</xdr:row>
      <xdr:rowOff>43180</xdr:rowOff>
    </xdr:to>
    <xdr:sp macro="" textlink="">
      <xdr:nvSpPr>
        <xdr:cNvPr id="9" name="KPI_Title_1">
          <a:extLst>
            <a:ext uri="{FF2B5EF4-FFF2-40B4-BE49-F238E27FC236}">
              <a16:creationId xmlns:a16="http://schemas.microsoft.com/office/drawing/2014/main" id="{C16A7086-E9CC-47E4-C555-6A9937188712}"/>
            </a:ext>
          </a:extLst>
        </xdr:cNvPr>
        <xdr:cNvSpPr txBox="1"/>
      </xdr:nvSpPr>
      <xdr:spPr>
        <a:xfrm>
          <a:off x="2349500" y="769620"/>
          <a:ext cx="1955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2000" b="1">
              <a:solidFill>
                <a:srgbClr val="0A0A0A"/>
              </a:solidFill>
              <a:latin typeface="Calibri" panose="020F0502020204030204" pitchFamily="34" charset="0"/>
            </a:rPr>
            <a:t>Total Target</a:t>
          </a:r>
        </a:p>
      </xdr:txBody>
    </xdr:sp>
    <xdr:clientData/>
  </xdr:twoCellAnchor>
  <xdr:twoCellAnchor>
    <xdr:from>
      <xdr:col>3</xdr:col>
      <xdr:colOff>472440</xdr:colOff>
      <xdr:row>6</xdr:row>
      <xdr:rowOff>81280</xdr:rowOff>
    </xdr:from>
    <xdr:to>
      <xdr:col>7</xdr:col>
      <xdr:colOff>10160</xdr:colOff>
      <xdr:row>9</xdr:row>
      <xdr:rowOff>86360</xdr:rowOff>
    </xdr:to>
    <xdr:sp macro="" textlink="Pivot!L6">
      <xdr:nvSpPr>
        <xdr:cNvPr id="10" name="KPI_Value_1">
          <a:extLst>
            <a:ext uri="{FF2B5EF4-FFF2-40B4-BE49-F238E27FC236}">
              <a16:creationId xmlns:a16="http://schemas.microsoft.com/office/drawing/2014/main" id="{61B85A34-A8D8-E309-840B-6F65E5577322}"/>
            </a:ext>
          </a:extLst>
        </xdr:cNvPr>
        <xdr:cNvSpPr txBox="1"/>
      </xdr:nvSpPr>
      <xdr:spPr>
        <a:xfrm>
          <a:off x="2324100" y="1087120"/>
          <a:ext cx="20066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CFC74225-65B4-4780-9C8A-E979F0E2B0BD}" type="TxLink">
            <a:rPr lang="en-US" sz="2400" b="1" i="0" u="none" strike="noStrike">
              <a:solidFill>
                <a:srgbClr val="0F2041"/>
              </a:solidFill>
              <a:latin typeface="Calibri" panose="020F0502020204030204" pitchFamily="34" charset="0"/>
            </a:rPr>
            <a:pPr algn="ctr"/>
            <a:t>41,693,329</a:t>
          </a:fld>
          <a:endParaRPr lang="en-US" sz="2400" b="1">
            <a:solidFill>
              <a:srgbClr val="0F2041"/>
            </a:solidFill>
            <a:latin typeface="Calibri" panose="020F0502020204030204" pitchFamily="34" charset="0"/>
          </a:endParaRPr>
        </a:p>
      </xdr:txBody>
    </xdr:sp>
    <xdr:clientData/>
  </xdr:twoCellAnchor>
  <xdr:twoCellAnchor>
    <xdr:from>
      <xdr:col>7</xdr:col>
      <xdr:colOff>162560</xdr:colOff>
      <xdr:row>3</xdr:row>
      <xdr:rowOff>50800</xdr:rowOff>
    </xdr:from>
    <xdr:to>
      <xdr:col>10</xdr:col>
      <xdr:colOff>419100</xdr:colOff>
      <xdr:row>9</xdr:row>
      <xdr:rowOff>124460</xdr:rowOff>
    </xdr:to>
    <xdr:sp macro="" textlink="">
      <xdr:nvSpPr>
        <xdr:cNvPr id="11" name="KPI_Card_2">
          <a:extLst>
            <a:ext uri="{FF2B5EF4-FFF2-40B4-BE49-F238E27FC236}">
              <a16:creationId xmlns:a16="http://schemas.microsoft.com/office/drawing/2014/main" id="{8B3E3A79-C628-BB13-0B72-6666FBEAE5E5}"/>
            </a:ext>
          </a:extLst>
        </xdr:cNvPr>
        <xdr:cNvSpPr/>
      </xdr:nvSpPr>
      <xdr:spPr>
        <a:xfrm>
          <a:off x="4483100" y="553720"/>
          <a:ext cx="2108200" cy="1079500"/>
        </a:xfrm>
        <a:prstGeom prst="roundRect">
          <a:avLst/>
        </a:prstGeom>
        <a:solidFill>
          <a:srgbClr val="FFFFFF"/>
        </a:solidFill>
        <a:ln w="9525">
          <a:solidFill>
            <a:srgbClr val="DAE0EB"/>
          </a:solidFill>
        </a:ln>
        <a:effectLst>
          <a:outerShdw blurRad="50800" dist="28398" dir="3806103" algn="tl">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162560</xdr:colOff>
      <xdr:row>3</xdr:row>
      <xdr:rowOff>50800</xdr:rowOff>
    </xdr:from>
    <xdr:to>
      <xdr:col>10</xdr:col>
      <xdr:colOff>419100</xdr:colOff>
      <xdr:row>4</xdr:row>
      <xdr:rowOff>35560</xdr:rowOff>
    </xdr:to>
    <xdr:sp macro="" textlink="">
      <xdr:nvSpPr>
        <xdr:cNvPr id="12" name="KPI_Accent_2">
          <a:extLst>
            <a:ext uri="{FF2B5EF4-FFF2-40B4-BE49-F238E27FC236}">
              <a16:creationId xmlns:a16="http://schemas.microsoft.com/office/drawing/2014/main" id="{DDB4D0F6-4114-3FED-24C8-BB3C491F2B21}"/>
            </a:ext>
          </a:extLst>
        </xdr:cNvPr>
        <xdr:cNvSpPr/>
      </xdr:nvSpPr>
      <xdr:spPr>
        <a:xfrm>
          <a:off x="4483100" y="553720"/>
          <a:ext cx="2108200" cy="152400"/>
        </a:xfrm>
        <a:prstGeom prst="rect">
          <a:avLst/>
        </a:prstGeom>
        <a:solidFill>
          <a:srgbClr val="F59E0B"/>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238760</xdr:colOff>
      <xdr:row>4</xdr:row>
      <xdr:rowOff>99060</xdr:rowOff>
    </xdr:from>
    <xdr:to>
      <xdr:col>10</xdr:col>
      <xdr:colOff>342900</xdr:colOff>
      <xdr:row>6</xdr:row>
      <xdr:rowOff>43180</xdr:rowOff>
    </xdr:to>
    <xdr:sp macro="" textlink="">
      <xdr:nvSpPr>
        <xdr:cNvPr id="13" name="KPI_Title_2">
          <a:extLst>
            <a:ext uri="{FF2B5EF4-FFF2-40B4-BE49-F238E27FC236}">
              <a16:creationId xmlns:a16="http://schemas.microsoft.com/office/drawing/2014/main" id="{4E31339A-2091-4BFD-7203-49D57B62D3D3}"/>
            </a:ext>
          </a:extLst>
        </xdr:cNvPr>
        <xdr:cNvSpPr txBox="1"/>
      </xdr:nvSpPr>
      <xdr:spPr>
        <a:xfrm>
          <a:off x="4559300" y="769620"/>
          <a:ext cx="1955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2000" b="1">
              <a:solidFill>
                <a:srgbClr val="0A0A0A"/>
              </a:solidFill>
              <a:latin typeface="Calibri" panose="020F0502020204030204" pitchFamily="34" charset="0"/>
            </a:rPr>
            <a:t>Total Orders</a:t>
          </a:r>
        </a:p>
      </xdr:txBody>
    </xdr:sp>
    <xdr:clientData/>
  </xdr:twoCellAnchor>
  <xdr:twoCellAnchor>
    <xdr:from>
      <xdr:col>7</xdr:col>
      <xdr:colOff>213360</xdr:colOff>
      <xdr:row>6</xdr:row>
      <xdr:rowOff>81280</xdr:rowOff>
    </xdr:from>
    <xdr:to>
      <xdr:col>10</xdr:col>
      <xdr:colOff>368300</xdr:colOff>
      <xdr:row>9</xdr:row>
      <xdr:rowOff>86360</xdr:rowOff>
    </xdr:to>
    <xdr:sp macro="" textlink="Pivot!L7">
      <xdr:nvSpPr>
        <xdr:cNvPr id="14" name="KPI_Value_2">
          <a:extLst>
            <a:ext uri="{FF2B5EF4-FFF2-40B4-BE49-F238E27FC236}">
              <a16:creationId xmlns:a16="http://schemas.microsoft.com/office/drawing/2014/main" id="{86BECF82-DE6B-64C9-4C55-B28DBA01EDF1}"/>
            </a:ext>
          </a:extLst>
        </xdr:cNvPr>
        <xdr:cNvSpPr txBox="1"/>
      </xdr:nvSpPr>
      <xdr:spPr>
        <a:xfrm>
          <a:off x="4533900" y="1087120"/>
          <a:ext cx="20066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DADA3A95-EBEB-466C-B1A7-D2274A568945}" type="TxLink">
            <a:rPr lang="en-US" sz="2400" b="1" i="0" u="none" strike="noStrike">
              <a:solidFill>
                <a:srgbClr val="0F2041"/>
              </a:solidFill>
              <a:latin typeface="Calibri" panose="020F0502020204030204" pitchFamily="34" charset="0"/>
            </a:rPr>
            <a:pPr algn="ctr"/>
            <a:t>500</a:t>
          </a:fld>
          <a:endParaRPr lang="en-US" sz="2400" b="1">
            <a:solidFill>
              <a:srgbClr val="0F2041"/>
            </a:solidFill>
            <a:latin typeface="Calibri" panose="020F0502020204030204" pitchFamily="34" charset="0"/>
          </a:endParaRPr>
        </a:p>
      </xdr:txBody>
    </xdr:sp>
    <xdr:clientData/>
  </xdr:twoCellAnchor>
  <xdr:twoCellAnchor>
    <xdr:from>
      <xdr:col>10</xdr:col>
      <xdr:colOff>520700</xdr:colOff>
      <xdr:row>3</xdr:row>
      <xdr:rowOff>50800</xdr:rowOff>
    </xdr:from>
    <xdr:to>
      <xdr:col>14</xdr:col>
      <xdr:colOff>160020</xdr:colOff>
      <xdr:row>9</xdr:row>
      <xdr:rowOff>124460</xdr:rowOff>
    </xdr:to>
    <xdr:sp macro="" textlink="">
      <xdr:nvSpPr>
        <xdr:cNvPr id="15" name="KPI_Card_3">
          <a:extLst>
            <a:ext uri="{FF2B5EF4-FFF2-40B4-BE49-F238E27FC236}">
              <a16:creationId xmlns:a16="http://schemas.microsoft.com/office/drawing/2014/main" id="{B35F0427-CF0C-511A-CAF5-9FECC7F9258B}"/>
            </a:ext>
          </a:extLst>
        </xdr:cNvPr>
        <xdr:cNvSpPr/>
      </xdr:nvSpPr>
      <xdr:spPr>
        <a:xfrm>
          <a:off x="6692900" y="553720"/>
          <a:ext cx="2108200" cy="1079500"/>
        </a:xfrm>
        <a:prstGeom prst="roundRect">
          <a:avLst/>
        </a:prstGeom>
        <a:solidFill>
          <a:srgbClr val="FFFFFF"/>
        </a:solidFill>
        <a:ln w="9525">
          <a:solidFill>
            <a:srgbClr val="DAE0EB"/>
          </a:solidFill>
        </a:ln>
        <a:effectLst>
          <a:outerShdw blurRad="50800" dist="28398" dir="3806103" algn="tl">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520700</xdr:colOff>
      <xdr:row>3</xdr:row>
      <xdr:rowOff>50800</xdr:rowOff>
    </xdr:from>
    <xdr:to>
      <xdr:col>14</xdr:col>
      <xdr:colOff>160020</xdr:colOff>
      <xdr:row>4</xdr:row>
      <xdr:rowOff>35560</xdr:rowOff>
    </xdr:to>
    <xdr:sp macro="" textlink="">
      <xdr:nvSpPr>
        <xdr:cNvPr id="16" name="KPI_Accent_3">
          <a:extLst>
            <a:ext uri="{FF2B5EF4-FFF2-40B4-BE49-F238E27FC236}">
              <a16:creationId xmlns:a16="http://schemas.microsoft.com/office/drawing/2014/main" id="{D8672CE7-F9E4-3B40-C661-298B7C45DE05}"/>
            </a:ext>
          </a:extLst>
        </xdr:cNvPr>
        <xdr:cNvSpPr/>
      </xdr:nvSpPr>
      <xdr:spPr>
        <a:xfrm>
          <a:off x="6692900" y="553720"/>
          <a:ext cx="2108200" cy="152400"/>
        </a:xfrm>
        <a:prstGeom prst="rect">
          <a:avLst/>
        </a:prstGeom>
        <a:solidFill>
          <a:srgbClr val="7C3AED"/>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596900</xdr:colOff>
      <xdr:row>4</xdr:row>
      <xdr:rowOff>99060</xdr:rowOff>
    </xdr:from>
    <xdr:to>
      <xdr:col>14</xdr:col>
      <xdr:colOff>83820</xdr:colOff>
      <xdr:row>6</xdr:row>
      <xdr:rowOff>43180</xdr:rowOff>
    </xdr:to>
    <xdr:sp macro="" textlink="">
      <xdr:nvSpPr>
        <xdr:cNvPr id="17" name="KPI_Title_3">
          <a:extLst>
            <a:ext uri="{FF2B5EF4-FFF2-40B4-BE49-F238E27FC236}">
              <a16:creationId xmlns:a16="http://schemas.microsoft.com/office/drawing/2014/main" id="{8F835324-2B30-C39B-EA8C-B75A6D31B9DF}"/>
            </a:ext>
          </a:extLst>
        </xdr:cNvPr>
        <xdr:cNvSpPr txBox="1"/>
      </xdr:nvSpPr>
      <xdr:spPr>
        <a:xfrm>
          <a:off x="6769100" y="769620"/>
          <a:ext cx="1955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2000" b="1">
              <a:solidFill>
                <a:srgbClr val="0A0A0A"/>
              </a:solidFill>
              <a:latin typeface="Calibri" panose="020F0502020204030204" pitchFamily="34" charset="0"/>
            </a:rPr>
            <a:t>Achievement %</a:t>
          </a:r>
        </a:p>
      </xdr:txBody>
    </xdr:sp>
    <xdr:clientData/>
  </xdr:twoCellAnchor>
  <xdr:twoCellAnchor>
    <xdr:from>
      <xdr:col>10</xdr:col>
      <xdr:colOff>571500</xdr:colOff>
      <xdr:row>6</xdr:row>
      <xdr:rowOff>81280</xdr:rowOff>
    </xdr:from>
    <xdr:to>
      <xdr:col>14</xdr:col>
      <xdr:colOff>109220</xdr:colOff>
      <xdr:row>9</xdr:row>
      <xdr:rowOff>86360</xdr:rowOff>
    </xdr:to>
    <xdr:sp macro="" textlink="Pivot!L8">
      <xdr:nvSpPr>
        <xdr:cNvPr id="18" name="KPI_Value_3">
          <a:extLst>
            <a:ext uri="{FF2B5EF4-FFF2-40B4-BE49-F238E27FC236}">
              <a16:creationId xmlns:a16="http://schemas.microsoft.com/office/drawing/2014/main" id="{ACE2CE68-9AD2-26E7-0506-D6BAFA65EB1C}"/>
            </a:ext>
          </a:extLst>
        </xdr:cNvPr>
        <xdr:cNvSpPr txBox="1"/>
      </xdr:nvSpPr>
      <xdr:spPr>
        <a:xfrm>
          <a:off x="6743700" y="1087120"/>
          <a:ext cx="20066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DA31FCBC-7DF0-4911-B166-8DDA6683DF44}" type="TxLink">
            <a:rPr lang="en-US" sz="2400" b="1" i="0" u="none" strike="noStrike">
              <a:solidFill>
                <a:srgbClr val="0F2041"/>
              </a:solidFill>
              <a:latin typeface="Calibri" panose="020F0502020204030204" pitchFamily="34" charset="0"/>
            </a:rPr>
            <a:pPr algn="ctr"/>
            <a:t>170.72%</a:t>
          </a:fld>
          <a:endParaRPr lang="en-US" sz="2400" b="1">
            <a:solidFill>
              <a:srgbClr val="0F2041"/>
            </a:solidFill>
            <a:latin typeface="Calibri" panose="020F0502020204030204" pitchFamily="34" charset="0"/>
          </a:endParaRPr>
        </a:p>
      </xdr:txBody>
    </xdr:sp>
    <xdr:clientData/>
  </xdr:twoCellAnchor>
  <xdr:twoCellAnchor>
    <xdr:from>
      <xdr:col>14</xdr:col>
      <xdr:colOff>261620</xdr:colOff>
      <xdr:row>3</xdr:row>
      <xdr:rowOff>50800</xdr:rowOff>
    </xdr:from>
    <xdr:to>
      <xdr:col>17</xdr:col>
      <xdr:colOff>518160</xdr:colOff>
      <xdr:row>9</xdr:row>
      <xdr:rowOff>124460</xdr:rowOff>
    </xdr:to>
    <xdr:sp macro="" textlink="">
      <xdr:nvSpPr>
        <xdr:cNvPr id="19" name="KPI_Card_4">
          <a:extLst>
            <a:ext uri="{FF2B5EF4-FFF2-40B4-BE49-F238E27FC236}">
              <a16:creationId xmlns:a16="http://schemas.microsoft.com/office/drawing/2014/main" id="{945CEC01-D4D9-5DA4-9294-56DD5EDAC83A}"/>
            </a:ext>
          </a:extLst>
        </xdr:cNvPr>
        <xdr:cNvSpPr/>
      </xdr:nvSpPr>
      <xdr:spPr>
        <a:xfrm>
          <a:off x="8902700" y="553720"/>
          <a:ext cx="2108200" cy="1079500"/>
        </a:xfrm>
        <a:prstGeom prst="roundRect">
          <a:avLst/>
        </a:prstGeom>
        <a:solidFill>
          <a:srgbClr val="FFFFFF"/>
        </a:solidFill>
        <a:ln w="9525">
          <a:solidFill>
            <a:srgbClr val="DAE0EB"/>
          </a:solidFill>
        </a:ln>
        <a:effectLst>
          <a:outerShdw blurRad="50800" dist="28398" dir="3806103" algn="tl">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261620</xdr:colOff>
      <xdr:row>3</xdr:row>
      <xdr:rowOff>50800</xdr:rowOff>
    </xdr:from>
    <xdr:to>
      <xdr:col>17</xdr:col>
      <xdr:colOff>518160</xdr:colOff>
      <xdr:row>4</xdr:row>
      <xdr:rowOff>35560</xdr:rowOff>
    </xdr:to>
    <xdr:sp macro="" textlink="">
      <xdr:nvSpPr>
        <xdr:cNvPr id="20" name="KPI_Accent_4">
          <a:extLst>
            <a:ext uri="{FF2B5EF4-FFF2-40B4-BE49-F238E27FC236}">
              <a16:creationId xmlns:a16="http://schemas.microsoft.com/office/drawing/2014/main" id="{215CDCEA-6AB0-09B4-789F-25C637834FCD}"/>
            </a:ext>
          </a:extLst>
        </xdr:cNvPr>
        <xdr:cNvSpPr/>
      </xdr:nvSpPr>
      <xdr:spPr>
        <a:xfrm>
          <a:off x="8902700" y="553720"/>
          <a:ext cx="2108200" cy="152400"/>
        </a:xfrm>
        <a:prstGeom prst="rect">
          <a:avLst/>
        </a:prstGeom>
        <a:solidFill>
          <a:srgbClr val="DC2626"/>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337820</xdr:colOff>
      <xdr:row>4</xdr:row>
      <xdr:rowOff>99060</xdr:rowOff>
    </xdr:from>
    <xdr:to>
      <xdr:col>17</xdr:col>
      <xdr:colOff>441960</xdr:colOff>
      <xdr:row>6</xdr:row>
      <xdr:rowOff>43180</xdr:rowOff>
    </xdr:to>
    <xdr:sp macro="" textlink="">
      <xdr:nvSpPr>
        <xdr:cNvPr id="21" name="KPI_Title_4">
          <a:extLst>
            <a:ext uri="{FF2B5EF4-FFF2-40B4-BE49-F238E27FC236}">
              <a16:creationId xmlns:a16="http://schemas.microsoft.com/office/drawing/2014/main" id="{87C6169E-2494-F621-B99E-5F7356058433}"/>
            </a:ext>
          </a:extLst>
        </xdr:cNvPr>
        <xdr:cNvSpPr txBox="1"/>
      </xdr:nvSpPr>
      <xdr:spPr>
        <a:xfrm>
          <a:off x="8978900" y="769620"/>
          <a:ext cx="1955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2000" b="1">
              <a:solidFill>
                <a:srgbClr val="0A0A0A"/>
              </a:solidFill>
              <a:latin typeface="Calibri" panose="020F0502020204030204" pitchFamily="34" charset="0"/>
            </a:rPr>
            <a:t>Units Sold</a:t>
          </a:r>
        </a:p>
      </xdr:txBody>
    </xdr:sp>
    <xdr:clientData/>
  </xdr:twoCellAnchor>
  <xdr:twoCellAnchor>
    <xdr:from>
      <xdr:col>14</xdr:col>
      <xdr:colOff>312420</xdr:colOff>
      <xdr:row>6</xdr:row>
      <xdr:rowOff>81280</xdr:rowOff>
    </xdr:from>
    <xdr:to>
      <xdr:col>17</xdr:col>
      <xdr:colOff>467360</xdr:colOff>
      <xdr:row>9</xdr:row>
      <xdr:rowOff>86360</xdr:rowOff>
    </xdr:to>
    <xdr:sp macro="" textlink="Pivot!L9">
      <xdr:nvSpPr>
        <xdr:cNvPr id="22" name="KPI_Value_4">
          <a:extLst>
            <a:ext uri="{FF2B5EF4-FFF2-40B4-BE49-F238E27FC236}">
              <a16:creationId xmlns:a16="http://schemas.microsoft.com/office/drawing/2014/main" id="{77FD50BC-B2D4-401B-70AA-4895F4BFF61C}"/>
            </a:ext>
          </a:extLst>
        </xdr:cNvPr>
        <xdr:cNvSpPr txBox="1"/>
      </xdr:nvSpPr>
      <xdr:spPr>
        <a:xfrm>
          <a:off x="8953500" y="1087120"/>
          <a:ext cx="20066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D2349289-00FE-4D24-9565-61EB3F090BC2}" type="TxLink">
            <a:rPr lang="en-US" sz="2400" b="1" i="0" u="none" strike="noStrike">
              <a:solidFill>
                <a:srgbClr val="0F2041"/>
              </a:solidFill>
              <a:latin typeface="Calibri" panose="020F0502020204030204" pitchFamily="34" charset="0"/>
            </a:rPr>
            <a:pPr algn="ctr"/>
            <a:t>2,716</a:t>
          </a:fld>
          <a:endParaRPr lang="en-US" sz="2400" b="1">
            <a:solidFill>
              <a:srgbClr val="0F2041"/>
            </a:solidFill>
            <a:latin typeface="Calibri" panose="020F0502020204030204" pitchFamily="34" charset="0"/>
          </a:endParaRPr>
        </a:p>
      </xdr:txBody>
    </xdr:sp>
    <xdr:clientData/>
  </xdr:twoCellAnchor>
  <xdr:twoCellAnchor>
    <xdr:from>
      <xdr:col>0</xdr:col>
      <xdr:colOff>63500</xdr:colOff>
      <xdr:row>11</xdr:row>
      <xdr:rowOff>38100</xdr:rowOff>
    </xdr:from>
    <xdr:to>
      <xdr:col>6</xdr:col>
      <xdr:colOff>411480</xdr:colOff>
      <xdr:row>25</xdr:row>
      <xdr:rowOff>129540</xdr:rowOff>
    </xdr:to>
    <xdr:graphicFrame macro="">
      <xdr:nvGraphicFramePr>
        <xdr:cNvPr id="23" name="chtMonthlyTrend">
          <a:extLst>
            <a:ext uri="{FF2B5EF4-FFF2-40B4-BE49-F238E27FC236}">
              <a16:creationId xmlns:a16="http://schemas.microsoft.com/office/drawing/2014/main" id="{7B62EA42-3A9E-E68F-AB7D-09B75E4C86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513080</xdr:colOff>
      <xdr:row>11</xdr:row>
      <xdr:rowOff>38100</xdr:rowOff>
    </xdr:from>
    <xdr:to>
      <xdr:col>11</xdr:col>
      <xdr:colOff>500380</xdr:colOff>
      <xdr:row>25</xdr:row>
      <xdr:rowOff>129540</xdr:rowOff>
    </xdr:to>
    <xdr:graphicFrame macro="">
      <xdr:nvGraphicFramePr>
        <xdr:cNvPr id="24" name="chtRegion">
          <a:extLst>
            <a:ext uri="{FF2B5EF4-FFF2-40B4-BE49-F238E27FC236}">
              <a16:creationId xmlns:a16="http://schemas.microsoft.com/office/drawing/2014/main" id="{375A4357-E5BA-3E11-085B-BC82A3F54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601980</xdr:colOff>
      <xdr:row>11</xdr:row>
      <xdr:rowOff>38100</xdr:rowOff>
    </xdr:from>
    <xdr:to>
      <xdr:col>17</xdr:col>
      <xdr:colOff>553720</xdr:colOff>
      <xdr:row>25</xdr:row>
      <xdr:rowOff>129540</xdr:rowOff>
    </xdr:to>
    <xdr:graphicFrame macro="">
      <xdr:nvGraphicFramePr>
        <xdr:cNvPr id="25" name="chtManager">
          <a:extLst>
            <a:ext uri="{FF2B5EF4-FFF2-40B4-BE49-F238E27FC236}">
              <a16:creationId xmlns:a16="http://schemas.microsoft.com/office/drawing/2014/main" id="{9CBA74BC-CBB8-244D-080D-7F978426C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63500</xdr:colOff>
      <xdr:row>26</xdr:row>
      <xdr:rowOff>38100</xdr:rowOff>
    </xdr:from>
    <xdr:to>
      <xdr:col>4</xdr:col>
      <xdr:colOff>553720</xdr:colOff>
      <xdr:row>39</xdr:row>
      <xdr:rowOff>129540</xdr:rowOff>
    </xdr:to>
    <xdr:graphicFrame macro="">
      <xdr:nvGraphicFramePr>
        <xdr:cNvPr id="26" name="chtCategory">
          <a:extLst>
            <a:ext uri="{FF2B5EF4-FFF2-40B4-BE49-F238E27FC236}">
              <a16:creationId xmlns:a16="http://schemas.microsoft.com/office/drawing/2014/main" id="{FA0FBE35-F359-8FD2-F101-34338A106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38100</xdr:colOff>
      <xdr:row>26</xdr:row>
      <xdr:rowOff>38100</xdr:rowOff>
    </xdr:from>
    <xdr:to>
      <xdr:col>17</xdr:col>
      <xdr:colOff>553720</xdr:colOff>
      <xdr:row>39</xdr:row>
      <xdr:rowOff>129540</xdr:rowOff>
    </xdr:to>
    <xdr:graphicFrame macro="">
      <xdr:nvGraphicFramePr>
        <xdr:cNvPr id="27" name="chtTopProducts">
          <a:extLst>
            <a:ext uri="{FF2B5EF4-FFF2-40B4-BE49-F238E27FC236}">
              <a16:creationId xmlns:a16="http://schemas.microsoft.com/office/drawing/2014/main" id="{C8F352FA-68D4-DA5B-298C-7508DAD60B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50799</xdr:colOff>
      <xdr:row>3</xdr:row>
      <xdr:rowOff>50799</xdr:rowOff>
    </xdr:from>
    <xdr:to>
      <xdr:col>21</xdr:col>
      <xdr:colOff>566419</xdr:colOff>
      <xdr:row>11</xdr:row>
      <xdr:rowOff>20319</xdr:rowOff>
    </xdr:to>
    <mc:AlternateContent xmlns:mc="http://schemas.openxmlformats.org/markup-compatibility/2006" xmlns:a14="http://schemas.microsoft.com/office/drawing/2010/main">
      <mc:Choice Requires="a14">
        <xdr:graphicFrame macro="">
          <xdr:nvGraphicFramePr>
            <xdr:cNvPr id="29" name="slcRegion_visual">
              <a:extLst>
                <a:ext uri="{FF2B5EF4-FFF2-40B4-BE49-F238E27FC236}">
                  <a16:creationId xmlns:a16="http://schemas.microsoft.com/office/drawing/2014/main" id="{3A3776B4-860F-3779-72B1-7566C1B4CE22}"/>
                </a:ext>
              </a:extLst>
            </xdr:cNvPr>
            <xdr:cNvGraphicFramePr/>
          </xdr:nvGraphicFramePr>
          <xdr:xfrm>
            <a:off x="0" y="0"/>
            <a:ext cx="0" cy="0"/>
          </xdr:xfrm>
          <a:graphic>
            <a:graphicData uri="http://schemas.microsoft.com/office/drawing/2010/slicer">
              <sle:slicer xmlns:sle="http://schemas.microsoft.com/office/drawing/2010/slicer" name="slcRegion_visual"/>
            </a:graphicData>
          </a:graphic>
        </xdr:graphicFrame>
      </mc:Choice>
      <mc:Fallback xmlns="">
        <xdr:sp macro="" textlink="">
          <xdr:nvSpPr>
            <xdr:cNvPr id="0" name=""/>
            <xdr:cNvSpPr>
              <a:spLocks noTextEdit="1"/>
            </xdr:cNvSpPr>
          </xdr:nvSpPr>
          <xdr:spPr>
            <a:xfrm>
              <a:off x="11295742" y="540656"/>
              <a:ext cx="1756591" cy="1112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50799</xdr:colOff>
      <xdr:row>11</xdr:row>
      <xdr:rowOff>121920</xdr:rowOff>
    </xdr:from>
    <xdr:to>
      <xdr:col>21</xdr:col>
      <xdr:colOff>566419</xdr:colOff>
      <xdr:row>20</xdr:row>
      <xdr:rowOff>137160</xdr:rowOff>
    </xdr:to>
    <mc:AlternateContent xmlns:mc="http://schemas.openxmlformats.org/markup-compatibility/2006" xmlns:a14="http://schemas.microsoft.com/office/drawing/2010/main">
      <mc:Choice Requires="a14">
        <xdr:graphicFrame macro="">
          <xdr:nvGraphicFramePr>
            <xdr:cNvPr id="30" name="slcCategory_visual">
              <a:extLst>
                <a:ext uri="{FF2B5EF4-FFF2-40B4-BE49-F238E27FC236}">
                  <a16:creationId xmlns:a16="http://schemas.microsoft.com/office/drawing/2014/main" id="{DC2863EC-C9BA-33B4-BF49-35BA94F19329}"/>
                </a:ext>
              </a:extLst>
            </xdr:cNvPr>
            <xdr:cNvGraphicFramePr/>
          </xdr:nvGraphicFramePr>
          <xdr:xfrm>
            <a:off x="0" y="0"/>
            <a:ext cx="0" cy="0"/>
          </xdr:xfrm>
          <a:graphic>
            <a:graphicData uri="http://schemas.microsoft.com/office/drawing/2010/slicer">
              <sle:slicer xmlns:sle="http://schemas.microsoft.com/office/drawing/2010/slicer" name="slcCategory_visual"/>
            </a:graphicData>
          </a:graphic>
        </xdr:graphicFrame>
      </mc:Choice>
      <mc:Fallback xmlns="">
        <xdr:sp macro="" textlink="">
          <xdr:nvSpPr>
            <xdr:cNvPr id="0" name=""/>
            <xdr:cNvSpPr>
              <a:spLocks noTextEdit="1"/>
            </xdr:cNvSpPr>
          </xdr:nvSpPr>
          <xdr:spPr>
            <a:xfrm>
              <a:off x="11295742" y="1754777"/>
              <a:ext cx="1756591" cy="1484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50799</xdr:colOff>
      <xdr:row>21</xdr:row>
      <xdr:rowOff>71120</xdr:rowOff>
    </xdr:from>
    <xdr:to>
      <xdr:col>21</xdr:col>
      <xdr:colOff>566419</xdr:colOff>
      <xdr:row>40</xdr:row>
      <xdr:rowOff>60960</xdr:rowOff>
    </xdr:to>
    <mc:AlternateContent xmlns:mc="http://schemas.openxmlformats.org/markup-compatibility/2006" xmlns:a14="http://schemas.microsoft.com/office/drawing/2010/main">
      <mc:Choice Requires="a14">
        <xdr:graphicFrame macro="">
          <xdr:nvGraphicFramePr>
            <xdr:cNvPr id="31" name="slcMonth_visual">
              <a:extLst>
                <a:ext uri="{FF2B5EF4-FFF2-40B4-BE49-F238E27FC236}">
                  <a16:creationId xmlns:a16="http://schemas.microsoft.com/office/drawing/2014/main" id="{C06817BA-17E5-5BFB-E186-CB448DD167EE}"/>
                </a:ext>
              </a:extLst>
            </xdr:cNvPr>
            <xdr:cNvGraphicFramePr/>
          </xdr:nvGraphicFramePr>
          <xdr:xfrm>
            <a:off x="0" y="0"/>
            <a:ext cx="0" cy="0"/>
          </xdr:xfrm>
          <a:graphic>
            <a:graphicData uri="http://schemas.microsoft.com/office/drawing/2010/slicer">
              <sle:slicer xmlns:sle="http://schemas.microsoft.com/office/drawing/2010/slicer" name="slcMonth_visual"/>
            </a:graphicData>
          </a:graphic>
        </xdr:graphicFrame>
      </mc:Choice>
      <mc:Fallback xmlns="">
        <xdr:sp macro="" textlink="">
          <xdr:nvSpPr>
            <xdr:cNvPr id="0" name=""/>
            <xdr:cNvSpPr>
              <a:spLocks noTextEdit="1"/>
            </xdr:cNvSpPr>
          </xdr:nvSpPr>
          <xdr:spPr>
            <a:xfrm>
              <a:off x="11295742" y="3336834"/>
              <a:ext cx="1756591" cy="3092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3.792913310186" createdVersion="8" refreshedVersion="8" minRefreshableVersion="3" recordCount="500" xr:uid="{080163DF-0300-431D-BD38-B2D91B4CBB48}">
  <cacheSource type="worksheet">
    <worksheetSource ref="A1:R501" sheet="Data"/>
  </cacheSource>
  <cacheFields count="19">
    <cacheField name="Date" numFmtId="0">
      <sharedItems/>
    </cacheField>
    <cacheField name="Month" numFmtId="0">
      <sharedItems count="12">
        <s v="Jan"/>
        <s v="Feb"/>
        <s v="Mar"/>
        <s v="Apr"/>
        <s v="May"/>
        <s v="Jun"/>
        <s v="Jul"/>
        <s v="Aug"/>
        <s v="Sep"/>
        <s v="Oct"/>
        <s v="Nov"/>
        <s v="Dec"/>
      </sharedItems>
    </cacheField>
    <cacheField name="Order ID" numFmtId="0">
      <sharedItems/>
    </cacheField>
    <cacheField name="Region" numFmtId="0">
      <sharedItems count="4">
        <s v="South"/>
        <s v="West"/>
        <s v="East"/>
        <s v="North"/>
      </sharedItems>
    </cacheField>
    <cacheField name="State" numFmtId="0">
      <sharedItems/>
    </cacheField>
    <cacheField name="City" numFmtId="0">
      <sharedItems/>
    </cacheField>
    <cacheField name="Sales Manager" numFmtId="0">
      <sharedItems count="8">
        <s v="Manager_1"/>
        <s v="Manager_5"/>
        <s v="Manager_2"/>
        <s v="Manager_6"/>
        <s v="Manager_3"/>
        <s v="Manager_7"/>
        <s v="Manager_4"/>
        <s v="Manager_8"/>
      </sharedItems>
    </cacheField>
    <cacheField name="Salesperson" numFmtId="0">
      <sharedItems/>
    </cacheField>
    <cacheField name="Channel" numFmtId="0">
      <sharedItems/>
    </cacheField>
    <cacheField name="Customer Segment" numFmtId="0">
      <sharedItems count="3">
        <s v="Corporate"/>
        <s v="Wholesale"/>
        <s v="Retail"/>
      </sharedItems>
    </cacheField>
    <cacheField name="Product Category" numFmtId="0">
      <sharedItems count="4">
        <s v="Furniture"/>
        <s v="Clothing"/>
        <s v="Electronics"/>
        <s v="Accessories"/>
      </sharedItems>
    </cacheField>
    <cacheField name="Product Name" numFmtId="0">
      <sharedItems count="8">
        <s v="Headphones"/>
        <s v="Shirt"/>
        <s v="Chair"/>
        <s v="Laptop"/>
        <s v="Phone"/>
        <s v="Shoes"/>
        <s v="Watch"/>
        <s v="Table"/>
      </sharedItems>
    </cacheField>
    <cacheField name="Units Sold" numFmtId="0">
      <sharedItems containsSemiMixedTypes="0" containsString="0" containsNumber="1" containsInteger="1" minValue="1" maxValue="10"/>
    </cacheField>
    <cacheField name="Unit Price" numFmtId="0">
      <sharedItems containsSemiMixedTypes="0" containsString="0" containsNumber="1" containsInteger="1" minValue="772" maxValue="49974"/>
    </cacheField>
    <cacheField name="Sales Amount" numFmtId="0">
      <sharedItems containsSemiMixedTypes="0" containsString="0" containsNumber="1" containsInteger="1" minValue="2391" maxValue="493720"/>
    </cacheField>
    <cacheField name="Target Sales" numFmtId="0">
      <sharedItems containsSemiMixedTypes="0" containsString="0" containsNumber="1" containsInteger="1" minValue="10626" maxValue="149600"/>
    </cacheField>
    <cacheField name="Lead ID" numFmtId="0">
      <sharedItems/>
    </cacheField>
    <cacheField name="_Year_" numFmtId="0">
      <sharedItems containsSemiMixedTypes="0" containsString="0" containsNumber="1" containsInteger="1" minValue="2026" maxValue="2027"/>
    </cacheField>
    <cacheField name="Achievement %" numFmtId="0" formula="'Sales Amount'/'Target Sales'" databaseField="0"/>
  </cacheFields>
  <extLst>
    <ext xmlns:x14="http://schemas.microsoft.com/office/spreadsheetml/2009/9/main" uri="{725AE2AE-9491-48be-B2B4-4EB974FC3084}">
      <x14:pivotCacheDefinition pivotCacheId="11205205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2026-01-01"/>
    <x v="0"/>
    <s v="ORD0001"/>
    <x v="0"/>
    <s v="Gujarat"/>
    <s v="Kolkata"/>
    <x v="0"/>
    <s v="Sales_14"/>
    <s v="Retail Store"/>
    <x v="0"/>
    <x v="0"/>
    <x v="0"/>
    <n v="3"/>
    <n v="43853"/>
    <n v="131559"/>
    <n v="139439"/>
    <s v="LEAD2301"/>
    <n v="2026"/>
  </r>
  <r>
    <s v="2026-01-02"/>
    <x v="0"/>
    <s v="ORD0002"/>
    <x v="1"/>
    <s v="Gujarat"/>
    <s v="Chennai"/>
    <x v="1"/>
    <s v="Sales_19"/>
    <s v="Amazon"/>
    <x v="0"/>
    <x v="1"/>
    <x v="1"/>
    <n v="2"/>
    <n v="29073"/>
    <n v="58146"/>
    <n v="50809"/>
    <s v="LEAD2508"/>
    <n v="2026"/>
  </r>
  <r>
    <s v="2026-01-03"/>
    <x v="0"/>
    <s v="ORD0003"/>
    <x v="2"/>
    <s v="Delhi"/>
    <s v="Delhi"/>
    <x v="1"/>
    <s v="Sales_14"/>
    <s v="Website"/>
    <x v="0"/>
    <x v="1"/>
    <x v="0"/>
    <n v="4"/>
    <n v="2441"/>
    <n v="9764"/>
    <n v="129385"/>
    <s v="LEAD1740"/>
    <n v="2026"/>
  </r>
  <r>
    <s v="2026-01-04"/>
    <x v="0"/>
    <s v="ORD0004"/>
    <x v="0"/>
    <s v="Tamil Nadu"/>
    <s v="Ahmedabad"/>
    <x v="1"/>
    <s v="Sales_26"/>
    <s v="Amazon"/>
    <x v="1"/>
    <x v="1"/>
    <x v="2"/>
    <n v="8"/>
    <n v="7909"/>
    <n v="63272"/>
    <n v="60520"/>
    <s v="LEAD3348"/>
    <n v="2026"/>
  </r>
  <r>
    <s v="2026-01-05"/>
    <x v="0"/>
    <s v="ORD0005"/>
    <x v="0"/>
    <s v="Karnataka"/>
    <s v="Delhi"/>
    <x v="1"/>
    <s v="Sales_8"/>
    <s v="Website"/>
    <x v="2"/>
    <x v="1"/>
    <x v="3"/>
    <n v="2"/>
    <n v="34493"/>
    <n v="68986"/>
    <n v="40139"/>
    <s v="LEAD4396"/>
    <n v="2026"/>
  </r>
  <r>
    <s v="2026-01-06"/>
    <x v="0"/>
    <s v="ORD0006"/>
    <x v="3"/>
    <s v="Tamil Nadu"/>
    <s v="Delhi"/>
    <x v="0"/>
    <s v="Sales_1"/>
    <s v="Amazon"/>
    <x v="2"/>
    <x v="0"/>
    <x v="4"/>
    <n v="7"/>
    <n v="15430"/>
    <n v="108010"/>
    <n v="55753"/>
    <s v="LEAD4248"/>
    <n v="2026"/>
  </r>
  <r>
    <s v="2026-01-07"/>
    <x v="0"/>
    <s v="ORD0007"/>
    <x v="0"/>
    <s v="Tamil Nadu"/>
    <s v="Chennai"/>
    <x v="0"/>
    <s v="Sales_13"/>
    <s v="Retail Store"/>
    <x v="2"/>
    <x v="2"/>
    <x v="1"/>
    <n v="3"/>
    <n v="28882"/>
    <n v="86646"/>
    <n v="69453"/>
    <s v="LEAD4746"/>
    <n v="2026"/>
  </r>
  <r>
    <s v="2026-01-08"/>
    <x v="0"/>
    <s v="ORD0008"/>
    <x v="3"/>
    <s v="Karnataka"/>
    <s v="Bangalore"/>
    <x v="1"/>
    <s v="Sales_29"/>
    <s v="WhatsApp"/>
    <x v="1"/>
    <x v="3"/>
    <x v="4"/>
    <n v="6"/>
    <n v="28177"/>
    <n v="169062"/>
    <n v="23059"/>
    <s v="LEAD3589"/>
    <n v="2026"/>
  </r>
  <r>
    <s v="2026-01-09"/>
    <x v="0"/>
    <s v="ORD0009"/>
    <x v="0"/>
    <s v="West Bengal"/>
    <s v="Bangalore"/>
    <x v="2"/>
    <s v="Sales_2"/>
    <s v="Amazon"/>
    <x v="0"/>
    <x v="3"/>
    <x v="5"/>
    <n v="5"/>
    <n v="34962"/>
    <n v="174810"/>
    <n v="81459"/>
    <s v="LEAD3309"/>
    <n v="2026"/>
  </r>
  <r>
    <s v="2026-01-10"/>
    <x v="0"/>
    <s v="ORD0010"/>
    <x v="1"/>
    <s v="Tamil Nadu"/>
    <s v="Bangalore"/>
    <x v="3"/>
    <s v="Sales_14"/>
    <s v="Website"/>
    <x v="2"/>
    <x v="1"/>
    <x v="2"/>
    <n v="5"/>
    <n v="32423"/>
    <n v="162115"/>
    <n v="101255"/>
    <s v="LEAD3284"/>
    <n v="2026"/>
  </r>
  <r>
    <s v="2026-01-11"/>
    <x v="0"/>
    <s v="ORD0011"/>
    <x v="1"/>
    <s v="Tamil Nadu"/>
    <s v="Bangalore"/>
    <x v="3"/>
    <s v="Sales_2"/>
    <s v="Retail Store"/>
    <x v="0"/>
    <x v="0"/>
    <x v="0"/>
    <n v="1"/>
    <n v="16292"/>
    <n v="16292"/>
    <n v="100222"/>
    <s v="LEAD3827"/>
    <n v="2026"/>
  </r>
  <r>
    <s v="2026-01-12"/>
    <x v="0"/>
    <s v="ORD0012"/>
    <x v="2"/>
    <s v="Gujarat"/>
    <s v="Mumbai"/>
    <x v="4"/>
    <s v="Sales_6"/>
    <s v="Amazon"/>
    <x v="1"/>
    <x v="0"/>
    <x v="1"/>
    <n v="1"/>
    <n v="9331"/>
    <n v="9331"/>
    <n v="128768"/>
    <s v="LEAD1522"/>
    <n v="2026"/>
  </r>
  <r>
    <s v="2026-01-13"/>
    <x v="0"/>
    <s v="ORD0013"/>
    <x v="2"/>
    <s v="West Bengal"/>
    <s v="Bangalore"/>
    <x v="5"/>
    <s v="Sales_25"/>
    <s v="WhatsApp"/>
    <x v="0"/>
    <x v="2"/>
    <x v="1"/>
    <n v="1"/>
    <n v="2391"/>
    <n v="2391"/>
    <n v="38703"/>
    <s v="LEAD1529"/>
    <n v="2026"/>
  </r>
  <r>
    <s v="2026-01-14"/>
    <x v="0"/>
    <s v="ORD0014"/>
    <x v="2"/>
    <s v="Delhi"/>
    <s v="Chennai"/>
    <x v="1"/>
    <s v="Sales_28"/>
    <s v="Website"/>
    <x v="2"/>
    <x v="3"/>
    <x v="2"/>
    <n v="7"/>
    <n v="42112"/>
    <n v="294784"/>
    <n v="86010"/>
    <s v="LEAD2806"/>
    <n v="2026"/>
  </r>
  <r>
    <s v="2026-01-15"/>
    <x v="0"/>
    <s v="ORD0015"/>
    <x v="3"/>
    <s v="Maharashtra"/>
    <s v="Mumbai"/>
    <x v="6"/>
    <s v="Sales_8"/>
    <s v="WhatsApp"/>
    <x v="2"/>
    <x v="2"/>
    <x v="4"/>
    <n v="8"/>
    <n v="38940"/>
    <n v="311520"/>
    <n v="124312"/>
    <s v="LEAD3426"/>
    <n v="2026"/>
  </r>
  <r>
    <s v="2026-01-16"/>
    <x v="0"/>
    <s v="ORD0016"/>
    <x v="1"/>
    <s v="Karnataka"/>
    <s v="Kolkata"/>
    <x v="7"/>
    <s v="Sales_8"/>
    <s v="Amazon"/>
    <x v="2"/>
    <x v="2"/>
    <x v="6"/>
    <n v="6"/>
    <n v="45583"/>
    <n v="273498"/>
    <n v="47932"/>
    <s v="LEAD1355"/>
    <n v="2026"/>
  </r>
  <r>
    <s v="2026-01-17"/>
    <x v="0"/>
    <s v="ORD0017"/>
    <x v="3"/>
    <s v="Delhi"/>
    <s v="Mumbai"/>
    <x v="1"/>
    <s v="Sales_18"/>
    <s v="Amazon"/>
    <x v="2"/>
    <x v="1"/>
    <x v="4"/>
    <n v="7"/>
    <n v="37254"/>
    <n v="260778"/>
    <n v="63594"/>
    <s v="LEAD3372"/>
    <n v="2026"/>
  </r>
  <r>
    <s v="2026-01-18"/>
    <x v="0"/>
    <s v="ORD0018"/>
    <x v="2"/>
    <s v="Karnataka"/>
    <s v="Delhi"/>
    <x v="5"/>
    <s v="Sales_2"/>
    <s v="WhatsApp"/>
    <x v="0"/>
    <x v="1"/>
    <x v="7"/>
    <n v="3"/>
    <n v="18813"/>
    <n v="56439"/>
    <n v="79812"/>
    <s v="LEAD3578"/>
    <n v="2026"/>
  </r>
  <r>
    <s v="2026-01-19"/>
    <x v="0"/>
    <s v="ORD0019"/>
    <x v="2"/>
    <s v="Tamil Nadu"/>
    <s v="Mumbai"/>
    <x v="6"/>
    <s v="Sales_7"/>
    <s v="WhatsApp"/>
    <x v="1"/>
    <x v="2"/>
    <x v="6"/>
    <n v="4"/>
    <n v="12472"/>
    <n v="49888"/>
    <n v="140395"/>
    <s v="LEAD3727"/>
    <n v="2026"/>
  </r>
  <r>
    <s v="2026-01-20"/>
    <x v="0"/>
    <s v="ORD0020"/>
    <x v="2"/>
    <s v="Tamil Nadu"/>
    <s v="Mumbai"/>
    <x v="0"/>
    <s v="Sales_29"/>
    <s v="Retail Store"/>
    <x v="2"/>
    <x v="0"/>
    <x v="4"/>
    <n v="8"/>
    <n v="4348"/>
    <n v="34784"/>
    <n v="134663"/>
    <s v="LEAD2861"/>
    <n v="2026"/>
  </r>
  <r>
    <s v="2026-01-21"/>
    <x v="0"/>
    <s v="ORD0021"/>
    <x v="1"/>
    <s v="West Bengal"/>
    <s v="Ahmedabad"/>
    <x v="7"/>
    <s v="Sales_28"/>
    <s v="Retail Store"/>
    <x v="1"/>
    <x v="0"/>
    <x v="2"/>
    <n v="7"/>
    <n v="5509"/>
    <n v="38563"/>
    <n v="68995"/>
    <s v="LEAD2311"/>
    <n v="2026"/>
  </r>
  <r>
    <s v="2026-01-22"/>
    <x v="0"/>
    <s v="ORD0022"/>
    <x v="1"/>
    <s v="Delhi"/>
    <s v="Bangalore"/>
    <x v="7"/>
    <s v="Sales_22"/>
    <s v="Amazon"/>
    <x v="1"/>
    <x v="2"/>
    <x v="7"/>
    <n v="3"/>
    <n v="42174"/>
    <n v="126522"/>
    <n v="58088"/>
    <s v="LEAD3365"/>
    <n v="2026"/>
  </r>
  <r>
    <s v="2026-01-23"/>
    <x v="0"/>
    <s v="ORD0023"/>
    <x v="2"/>
    <s v="Karnataka"/>
    <s v="Mumbai"/>
    <x v="4"/>
    <s v="Sales_15"/>
    <s v="Website"/>
    <x v="2"/>
    <x v="3"/>
    <x v="0"/>
    <n v="8"/>
    <n v="32673"/>
    <n v="261384"/>
    <n v="39709"/>
    <s v="LEAD3165"/>
    <n v="2026"/>
  </r>
  <r>
    <s v="2026-01-24"/>
    <x v="0"/>
    <s v="ORD0024"/>
    <x v="0"/>
    <s v="Delhi"/>
    <s v="Kolkata"/>
    <x v="2"/>
    <s v="Sales_17"/>
    <s v="Website"/>
    <x v="1"/>
    <x v="3"/>
    <x v="6"/>
    <n v="8"/>
    <n v="36298"/>
    <n v="290384"/>
    <n v="89021"/>
    <s v="LEAD2419"/>
    <n v="2026"/>
  </r>
  <r>
    <s v="2026-01-25"/>
    <x v="0"/>
    <s v="ORD0025"/>
    <x v="2"/>
    <s v="Delhi"/>
    <s v="Delhi"/>
    <x v="6"/>
    <s v="Sales_15"/>
    <s v="Website"/>
    <x v="1"/>
    <x v="2"/>
    <x v="0"/>
    <n v="3"/>
    <n v="2270"/>
    <n v="6810"/>
    <n v="40881"/>
    <s v="LEAD3630"/>
    <n v="2026"/>
  </r>
  <r>
    <s v="2026-01-26"/>
    <x v="0"/>
    <s v="ORD0026"/>
    <x v="0"/>
    <s v="West Bengal"/>
    <s v="Mumbai"/>
    <x v="7"/>
    <s v="Sales_24"/>
    <s v="Website"/>
    <x v="1"/>
    <x v="0"/>
    <x v="6"/>
    <n v="6"/>
    <n v="21846"/>
    <n v="131076"/>
    <n v="28990"/>
    <s v="LEAD1132"/>
    <n v="2026"/>
  </r>
  <r>
    <s v="2026-01-27"/>
    <x v="0"/>
    <s v="ORD0027"/>
    <x v="1"/>
    <s v="Tamil Nadu"/>
    <s v="Bangalore"/>
    <x v="1"/>
    <s v="Sales_13"/>
    <s v="Retail Store"/>
    <x v="0"/>
    <x v="0"/>
    <x v="5"/>
    <n v="8"/>
    <n v="9463"/>
    <n v="75704"/>
    <n v="91633"/>
    <s v="LEAD1890"/>
    <n v="2026"/>
  </r>
  <r>
    <s v="2026-01-28"/>
    <x v="0"/>
    <s v="ORD0028"/>
    <x v="3"/>
    <s v="Delhi"/>
    <s v="Kolkata"/>
    <x v="0"/>
    <s v="Sales_7"/>
    <s v="Amazon"/>
    <x v="1"/>
    <x v="2"/>
    <x v="4"/>
    <n v="2"/>
    <n v="20523"/>
    <n v="41046"/>
    <n v="99669"/>
    <s v="LEAD1939"/>
    <n v="2026"/>
  </r>
  <r>
    <s v="2026-01-29"/>
    <x v="0"/>
    <s v="ORD0029"/>
    <x v="2"/>
    <s v="West Bengal"/>
    <s v="Bangalore"/>
    <x v="7"/>
    <s v="Sales_8"/>
    <s v="WhatsApp"/>
    <x v="0"/>
    <x v="3"/>
    <x v="1"/>
    <n v="6"/>
    <n v="4175"/>
    <n v="25050"/>
    <n v="124926"/>
    <s v="LEAD1462"/>
    <n v="2026"/>
  </r>
  <r>
    <s v="2026-01-30"/>
    <x v="0"/>
    <s v="ORD0030"/>
    <x v="0"/>
    <s v="Delhi"/>
    <s v="Ahmedabad"/>
    <x v="1"/>
    <s v="Sales_19"/>
    <s v="Website"/>
    <x v="0"/>
    <x v="2"/>
    <x v="5"/>
    <n v="10"/>
    <n v="28141"/>
    <n v="281410"/>
    <n v="54845"/>
    <s v="LEAD3444"/>
    <n v="2026"/>
  </r>
  <r>
    <s v="2026-01-31"/>
    <x v="0"/>
    <s v="ORD0031"/>
    <x v="2"/>
    <s v="West Bengal"/>
    <s v="Bangalore"/>
    <x v="1"/>
    <s v="Sales_22"/>
    <s v="Retail Store"/>
    <x v="1"/>
    <x v="2"/>
    <x v="2"/>
    <n v="7"/>
    <n v="22135"/>
    <n v="154945"/>
    <n v="84215"/>
    <s v="LEAD3899"/>
    <n v="2026"/>
  </r>
  <r>
    <s v="2026-02-01"/>
    <x v="1"/>
    <s v="ORD0032"/>
    <x v="0"/>
    <s v="Delhi"/>
    <s v="Delhi"/>
    <x v="5"/>
    <s v="Sales_26"/>
    <s v="Website"/>
    <x v="1"/>
    <x v="2"/>
    <x v="4"/>
    <n v="5"/>
    <n v="25340"/>
    <n v="126700"/>
    <n v="33304"/>
    <s v="LEAD4372"/>
    <n v="2026"/>
  </r>
  <r>
    <s v="2026-02-02"/>
    <x v="1"/>
    <s v="ORD0033"/>
    <x v="3"/>
    <s v="West Bengal"/>
    <s v="Mumbai"/>
    <x v="4"/>
    <s v="Sales_3"/>
    <s v="Website"/>
    <x v="0"/>
    <x v="3"/>
    <x v="6"/>
    <n v="10"/>
    <n v="14774"/>
    <n v="147740"/>
    <n v="16719"/>
    <s v="LEAD2608"/>
    <n v="2026"/>
  </r>
  <r>
    <s v="2026-02-03"/>
    <x v="1"/>
    <s v="ORD0034"/>
    <x v="3"/>
    <s v="Delhi"/>
    <s v="Chennai"/>
    <x v="7"/>
    <s v="Sales_24"/>
    <s v="Retail Store"/>
    <x v="1"/>
    <x v="0"/>
    <x v="2"/>
    <n v="5"/>
    <n v="26000"/>
    <n v="130000"/>
    <n v="19141"/>
    <s v="LEAD4267"/>
    <n v="2026"/>
  </r>
  <r>
    <s v="2026-02-04"/>
    <x v="1"/>
    <s v="ORD0035"/>
    <x v="0"/>
    <s v="Delhi"/>
    <s v="Chennai"/>
    <x v="1"/>
    <s v="Sales_21"/>
    <s v="Retail Store"/>
    <x v="2"/>
    <x v="3"/>
    <x v="3"/>
    <n v="9"/>
    <n v="8766"/>
    <n v="78894"/>
    <n v="51142"/>
    <s v="LEAD4147"/>
    <n v="2026"/>
  </r>
  <r>
    <s v="2026-02-05"/>
    <x v="1"/>
    <s v="ORD0036"/>
    <x v="1"/>
    <s v="Karnataka"/>
    <s v="Mumbai"/>
    <x v="3"/>
    <s v="Sales_24"/>
    <s v="Amazon"/>
    <x v="1"/>
    <x v="0"/>
    <x v="2"/>
    <n v="8"/>
    <n v="14205"/>
    <n v="113640"/>
    <n v="108485"/>
    <s v="LEAD3480"/>
    <n v="2026"/>
  </r>
  <r>
    <s v="2026-02-06"/>
    <x v="1"/>
    <s v="ORD0037"/>
    <x v="0"/>
    <s v="Karnataka"/>
    <s v="Delhi"/>
    <x v="4"/>
    <s v="Sales_2"/>
    <s v="WhatsApp"/>
    <x v="0"/>
    <x v="2"/>
    <x v="2"/>
    <n v="1"/>
    <n v="33389"/>
    <n v="33389"/>
    <n v="51985"/>
    <s v="LEAD4544"/>
    <n v="2026"/>
  </r>
  <r>
    <s v="2026-02-07"/>
    <x v="1"/>
    <s v="ORD0038"/>
    <x v="0"/>
    <s v="West Bengal"/>
    <s v="Bangalore"/>
    <x v="7"/>
    <s v="Sales_2"/>
    <s v="Retail Store"/>
    <x v="0"/>
    <x v="0"/>
    <x v="7"/>
    <n v="10"/>
    <n v="28139"/>
    <n v="281390"/>
    <n v="149600"/>
    <s v="LEAD2885"/>
    <n v="2026"/>
  </r>
  <r>
    <s v="2026-02-08"/>
    <x v="1"/>
    <s v="ORD0039"/>
    <x v="1"/>
    <s v="Karnataka"/>
    <s v="Mumbai"/>
    <x v="2"/>
    <s v="Sales_13"/>
    <s v="Amazon"/>
    <x v="1"/>
    <x v="0"/>
    <x v="7"/>
    <n v="1"/>
    <n v="40469"/>
    <n v="40469"/>
    <n v="64972"/>
    <s v="LEAD3844"/>
    <n v="2026"/>
  </r>
  <r>
    <s v="2026-02-09"/>
    <x v="1"/>
    <s v="ORD0040"/>
    <x v="0"/>
    <s v="West Bengal"/>
    <s v="Delhi"/>
    <x v="5"/>
    <s v="Sales_16"/>
    <s v="Retail Store"/>
    <x v="1"/>
    <x v="0"/>
    <x v="0"/>
    <n v="1"/>
    <n v="48818"/>
    <n v="48818"/>
    <n v="15599"/>
    <s v="LEAD4766"/>
    <n v="2026"/>
  </r>
  <r>
    <s v="2026-02-10"/>
    <x v="1"/>
    <s v="ORD0041"/>
    <x v="2"/>
    <s v="Tamil Nadu"/>
    <s v="Mumbai"/>
    <x v="4"/>
    <s v="Sales_5"/>
    <s v="Retail Store"/>
    <x v="2"/>
    <x v="3"/>
    <x v="0"/>
    <n v="7"/>
    <n v="7373"/>
    <n v="51611"/>
    <n v="38930"/>
    <s v="LEAD4058"/>
    <n v="2026"/>
  </r>
  <r>
    <s v="2026-02-11"/>
    <x v="1"/>
    <s v="ORD0042"/>
    <x v="3"/>
    <s v="Maharashtra"/>
    <s v="Delhi"/>
    <x v="7"/>
    <s v="Sales_3"/>
    <s v="Retail Store"/>
    <x v="1"/>
    <x v="3"/>
    <x v="0"/>
    <n v="4"/>
    <n v="25153"/>
    <n v="100612"/>
    <n v="73665"/>
    <s v="LEAD4559"/>
    <n v="2026"/>
  </r>
  <r>
    <s v="2026-02-12"/>
    <x v="1"/>
    <s v="ORD0043"/>
    <x v="0"/>
    <s v="Maharashtra"/>
    <s v="Mumbai"/>
    <x v="5"/>
    <s v="Sales_23"/>
    <s v="Website"/>
    <x v="2"/>
    <x v="2"/>
    <x v="3"/>
    <n v="7"/>
    <n v="15286"/>
    <n v="107002"/>
    <n v="37770"/>
    <s v="LEAD2404"/>
    <n v="2026"/>
  </r>
  <r>
    <s v="2026-02-13"/>
    <x v="1"/>
    <s v="ORD0044"/>
    <x v="2"/>
    <s v="Tamil Nadu"/>
    <s v="Chennai"/>
    <x v="7"/>
    <s v="Sales_25"/>
    <s v="WhatsApp"/>
    <x v="0"/>
    <x v="0"/>
    <x v="7"/>
    <n v="4"/>
    <n v="7394"/>
    <n v="29576"/>
    <n v="44351"/>
    <s v="LEAD2659"/>
    <n v="2026"/>
  </r>
  <r>
    <s v="2026-02-14"/>
    <x v="1"/>
    <s v="ORD0045"/>
    <x v="1"/>
    <s v="Karnataka"/>
    <s v="Ahmedabad"/>
    <x v="1"/>
    <s v="Sales_4"/>
    <s v="Website"/>
    <x v="2"/>
    <x v="2"/>
    <x v="0"/>
    <n v="6"/>
    <n v="35525"/>
    <n v="213150"/>
    <n v="107687"/>
    <s v="LEAD1176"/>
    <n v="2026"/>
  </r>
  <r>
    <s v="2026-02-15"/>
    <x v="1"/>
    <s v="ORD0046"/>
    <x v="3"/>
    <s v="Maharashtra"/>
    <s v="Kolkata"/>
    <x v="2"/>
    <s v="Sales_29"/>
    <s v="Retail Store"/>
    <x v="1"/>
    <x v="0"/>
    <x v="1"/>
    <n v="5"/>
    <n v="12110"/>
    <n v="60550"/>
    <n v="36627"/>
    <s v="LEAD1103"/>
    <n v="2026"/>
  </r>
  <r>
    <s v="2026-02-16"/>
    <x v="1"/>
    <s v="ORD0047"/>
    <x v="3"/>
    <s v="Tamil Nadu"/>
    <s v="Mumbai"/>
    <x v="3"/>
    <s v="Sales_2"/>
    <s v="WhatsApp"/>
    <x v="1"/>
    <x v="2"/>
    <x v="1"/>
    <n v="6"/>
    <n v="27548"/>
    <n v="165288"/>
    <n v="84251"/>
    <s v="LEAD2918"/>
    <n v="2026"/>
  </r>
  <r>
    <s v="2026-02-17"/>
    <x v="1"/>
    <s v="ORD0048"/>
    <x v="3"/>
    <s v="Tamil Nadu"/>
    <s v="Bangalore"/>
    <x v="0"/>
    <s v="Sales_20"/>
    <s v="WhatsApp"/>
    <x v="1"/>
    <x v="2"/>
    <x v="1"/>
    <n v="3"/>
    <n v="22369"/>
    <n v="67107"/>
    <n v="65251"/>
    <s v="LEAD3668"/>
    <n v="2026"/>
  </r>
  <r>
    <s v="2026-02-18"/>
    <x v="1"/>
    <s v="ORD0049"/>
    <x v="0"/>
    <s v="West Bengal"/>
    <s v="Mumbai"/>
    <x v="1"/>
    <s v="Sales_30"/>
    <s v="WhatsApp"/>
    <x v="2"/>
    <x v="2"/>
    <x v="2"/>
    <n v="7"/>
    <n v="24599"/>
    <n v="172193"/>
    <n v="116283"/>
    <s v="LEAD2924"/>
    <n v="2026"/>
  </r>
  <r>
    <s v="2026-02-19"/>
    <x v="1"/>
    <s v="ORD0050"/>
    <x v="2"/>
    <s v="Tamil Nadu"/>
    <s v="Chennai"/>
    <x v="1"/>
    <s v="Sales_18"/>
    <s v="Website"/>
    <x v="2"/>
    <x v="2"/>
    <x v="1"/>
    <n v="3"/>
    <n v="19041"/>
    <n v="57123"/>
    <n v="100749"/>
    <s v="LEAD3148"/>
    <n v="2026"/>
  </r>
  <r>
    <s v="2026-02-20"/>
    <x v="1"/>
    <s v="ORD0051"/>
    <x v="2"/>
    <s v="Gujarat"/>
    <s v="Chennai"/>
    <x v="3"/>
    <s v="Sales_6"/>
    <s v="Retail Store"/>
    <x v="0"/>
    <x v="3"/>
    <x v="1"/>
    <n v="5"/>
    <n v="23970"/>
    <n v="119850"/>
    <n v="111572"/>
    <s v="LEAD1648"/>
    <n v="2026"/>
  </r>
  <r>
    <s v="2026-02-21"/>
    <x v="1"/>
    <s v="ORD0052"/>
    <x v="2"/>
    <s v="West Bengal"/>
    <s v="Delhi"/>
    <x v="6"/>
    <s v="Sales_1"/>
    <s v="Website"/>
    <x v="1"/>
    <x v="0"/>
    <x v="4"/>
    <n v="2"/>
    <n v="29374"/>
    <n v="58748"/>
    <n v="145362"/>
    <s v="LEAD4844"/>
    <n v="2026"/>
  </r>
  <r>
    <s v="2026-02-22"/>
    <x v="1"/>
    <s v="ORD0053"/>
    <x v="3"/>
    <s v="Gujarat"/>
    <s v="Chennai"/>
    <x v="5"/>
    <s v="Sales_18"/>
    <s v="Website"/>
    <x v="0"/>
    <x v="3"/>
    <x v="2"/>
    <n v="1"/>
    <n v="21268"/>
    <n v="21268"/>
    <n v="121016"/>
    <s v="LEAD1677"/>
    <n v="2026"/>
  </r>
  <r>
    <s v="2026-02-23"/>
    <x v="1"/>
    <s v="ORD0054"/>
    <x v="3"/>
    <s v="Maharashtra"/>
    <s v="Mumbai"/>
    <x v="1"/>
    <s v="Sales_1"/>
    <s v="Website"/>
    <x v="0"/>
    <x v="0"/>
    <x v="5"/>
    <n v="5"/>
    <n v="16968"/>
    <n v="84840"/>
    <n v="136117"/>
    <s v="LEAD3809"/>
    <n v="2026"/>
  </r>
  <r>
    <s v="2026-02-24"/>
    <x v="1"/>
    <s v="ORD0055"/>
    <x v="1"/>
    <s v="West Bengal"/>
    <s v="Chennai"/>
    <x v="0"/>
    <s v="Sales_14"/>
    <s v="Retail Store"/>
    <x v="0"/>
    <x v="3"/>
    <x v="5"/>
    <n v="4"/>
    <n v="29540"/>
    <n v="118160"/>
    <n v="56087"/>
    <s v="LEAD1796"/>
    <n v="2026"/>
  </r>
  <r>
    <s v="2026-02-25"/>
    <x v="1"/>
    <s v="ORD0056"/>
    <x v="3"/>
    <s v="Karnataka"/>
    <s v="Ahmedabad"/>
    <x v="3"/>
    <s v="Sales_30"/>
    <s v="Amazon"/>
    <x v="0"/>
    <x v="3"/>
    <x v="3"/>
    <n v="10"/>
    <n v="6494"/>
    <n v="64940"/>
    <n v="143920"/>
    <s v="LEAD3646"/>
    <n v="2026"/>
  </r>
  <r>
    <s v="2026-02-26"/>
    <x v="1"/>
    <s v="ORD0057"/>
    <x v="2"/>
    <s v="Delhi"/>
    <s v="Bangalore"/>
    <x v="3"/>
    <s v="Sales_22"/>
    <s v="Amazon"/>
    <x v="1"/>
    <x v="3"/>
    <x v="6"/>
    <n v="3"/>
    <n v="40612"/>
    <n v="121836"/>
    <n v="54617"/>
    <s v="LEAD2910"/>
    <n v="2026"/>
  </r>
  <r>
    <s v="2026-02-27"/>
    <x v="1"/>
    <s v="ORD0058"/>
    <x v="3"/>
    <s v="West Bengal"/>
    <s v="Ahmedabad"/>
    <x v="0"/>
    <s v="Sales_14"/>
    <s v="Amazon"/>
    <x v="1"/>
    <x v="3"/>
    <x v="6"/>
    <n v="2"/>
    <n v="35153"/>
    <n v="70306"/>
    <n v="37532"/>
    <s v="LEAD1627"/>
    <n v="2026"/>
  </r>
  <r>
    <s v="2026-02-28"/>
    <x v="1"/>
    <s v="ORD0059"/>
    <x v="2"/>
    <s v="West Bengal"/>
    <s v="Ahmedabad"/>
    <x v="6"/>
    <s v="Sales_20"/>
    <s v="WhatsApp"/>
    <x v="1"/>
    <x v="0"/>
    <x v="0"/>
    <n v="5"/>
    <n v="43350"/>
    <n v="216750"/>
    <n v="65203"/>
    <s v="LEAD1934"/>
    <n v="2026"/>
  </r>
  <r>
    <s v="2026-03-01"/>
    <x v="2"/>
    <s v="ORD0060"/>
    <x v="1"/>
    <s v="Delhi"/>
    <s v="Kolkata"/>
    <x v="3"/>
    <s v="Sales_20"/>
    <s v="Retail Store"/>
    <x v="0"/>
    <x v="3"/>
    <x v="1"/>
    <n v="5"/>
    <n v="29210"/>
    <n v="146050"/>
    <n v="20418"/>
    <s v="LEAD4686"/>
    <n v="2026"/>
  </r>
  <r>
    <s v="2026-03-02"/>
    <x v="2"/>
    <s v="ORD0061"/>
    <x v="0"/>
    <s v="Tamil Nadu"/>
    <s v="Delhi"/>
    <x v="0"/>
    <s v="Sales_28"/>
    <s v="Amazon"/>
    <x v="1"/>
    <x v="2"/>
    <x v="6"/>
    <n v="3"/>
    <n v="14539"/>
    <n v="43617"/>
    <n v="78815"/>
    <s v="LEAD2879"/>
    <n v="2026"/>
  </r>
  <r>
    <s v="2026-03-03"/>
    <x v="2"/>
    <s v="ORD0062"/>
    <x v="0"/>
    <s v="Maharashtra"/>
    <s v="Ahmedabad"/>
    <x v="1"/>
    <s v="Sales_30"/>
    <s v="Retail Store"/>
    <x v="1"/>
    <x v="0"/>
    <x v="6"/>
    <n v="7"/>
    <n v="4460"/>
    <n v="31220"/>
    <n v="22634"/>
    <s v="LEAD2267"/>
    <n v="2026"/>
  </r>
  <r>
    <s v="2026-03-04"/>
    <x v="2"/>
    <s v="ORD0063"/>
    <x v="3"/>
    <s v="Tamil Nadu"/>
    <s v="Mumbai"/>
    <x v="5"/>
    <s v="Sales_3"/>
    <s v="Amazon"/>
    <x v="2"/>
    <x v="2"/>
    <x v="5"/>
    <n v="9"/>
    <n v="13933"/>
    <n v="125397"/>
    <n v="142393"/>
    <s v="LEAD3807"/>
    <n v="2026"/>
  </r>
  <r>
    <s v="2026-03-05"/>
    <x v="2"/>
    <s v="ORD0064"/>
    <x v="0"/>
    <s v="Gujarat"/>
    <s v="Mumbai"/>
    <x v="1"/>
    <s v="Sales_11"/>
    <s v="WhatsApp"/>
    <x v="2"/>
    <x v="0"/>
    <x v="0"/>
    <n v="7"/>
    <n v="46287"/>
    <n v="324009"/>
    <n v="103485"/>
    <s v="LEAD3761"/>
    <n v="2026"/>
  </r>
  <r>
    <s v="2026-03-06"/>
    <x v="2"/>
    <s v="ORD0065"/>
    <x v="2"/>
    <s v="Maharashtra"/>
    <s v="Chennai"/>
    <x v="7"/>
    <s v="Sales_1"/>
    <s v="Website"/>
    <x v="0"/>
    <x v="1"/>
    <x v="4"/>
    <n v="4"/>
    <n v="34569"/>
    <n v="138276"/>
    <n v="78205"/>
    <s v="LEAD1516"/>
    <n v="2026"/>
  </r>
  <r>
    <s v="2026-03-07"/>
    <x v="2"/>
    <s v="ORD0066"/>
    <x v="1"/>
    <s v="Tamil Nadu"/>
    <s v="Chennai"/>
    <x v="0"/>
    <s v="Sales_21"/>
    <s v="WhatsApp"/>
    <x v="2"/>
    <x v="0"/>
    <x v="2"/>
    <n v="3"/>
    <n v="47126"/>
    <n v="141378"/>
    <n v="32500"/>
    <s v="LEAD4300"/>
    <n v="2026"/>
  </r>
  <r>
    <s v="2026-03-08"/>
    <x v="2"/>
    <s v="ORD0067"/>
    <x v="2"/>
    <s v="Maharashtra"/>
    <s v="Delhi"/>
    <x v="2"/>
    <s v="Sales_17"/>
    <s v="Website"/>
    <x v="0"/>
    <x v="1"/>
    <x v="4"/>
    <n v="1"/>
    <n v="45113"/>
    <n v="45113"/>
    <n v="72059"/>
    <s v="LEAD3627"/>
    <n v="2026"/>
  </r>
  <r>
    <s v="2026-03-09"/>
    <x v="2"/>
    <s v="ORD0068"/>
    <x v="3"/>
    <s v="Gujarat"/>
    <s v="Chennai"/>
    <x v="7"/>
    <s v="Sales_7"/>
    <s v="WhatsApp"/>
    <x v="1"/>
    <x v="3"/>
    <x v="7"/>
    <n v="7"/>
    <n v="36197"/>
    <n v="253379"/>
    <n v="67172"/>
    <s v="LEAD4740"/>
    <n v="2026"/>
  </r>
  <r>
    <s v="2026-03-10"/>
    <x v="2"/>
    <s v="ORD0069"/>
    <x v="0"/>
    <s v="Delhi"/>
    <s v="Kolkata"/>
    <x v="3"/>
    <s v="Sales_29"/>
    <s v="Retail Store"/>
    <x v="2"/>
    <x v="2"/>
    <x v="1"/>
    <n v="2"/>
    <n v="34069"/>
    <n v="68138"/>
    <n v="121217"/>
    <s v="LEAD3593"/>
    <n v="2026"/>
  </r>
  <r>
    <s v="2026-03-11"/>
    <x v="2"/>
    <s v="ORD0070"/>
    <x v="3"/>
    <s v="Gujarat"/>
    <s v="Mumbai"/>
    <x v="1"/>
    <s v="Sales_27"/>
    <s v="Website"/>
    <x v="0"/>
    <x v="1"/>
    <x v="1"/>
    <n v="3"/>
    <n v="14192"/>
    <n v="42576"/>
    <n v="105848"/>
    <s v="LEAD4153"/>
    <n v="2026"/>
  </r>
  <r>
    <s v="2026-03-12"/>
    <x v="2"/>
    <s v="ORD0071"/>
    <x v="3"/>
    <s v="Delhi"/>
    <s v="Delhi"/>
    <x v="5"/>
    <s v="Sales_9"/>
    <s v="Amazon"/>
    <x v="2"/>
    <x v="0"/>
    <x v="1"/>
    <n v="6"/>
    <n v="43910"/>
    <n v="263460"/>
    <n v="130071"/>
    <s v="LEAD3721"/>
    <n v="2026"/>
  </r>
  <r>
    <s v="2026-03-13"/>
    <x v="2"/>
    <s v="ORD0072"/>
    <x v="2"/>
    <s v="Karnataka"/>
    <s v="Bangalore"/>
    <x v="3"/>
    <s v="Sales_24"/>
    <s v="Website"/>
    <x v="2"/>
    <x v="3"/>
    <x v="4"/>
    <n v="6"/>
    <n v="15470"/>
    <n v="92820"/>
    <n v="100051"/>
    <s v="LEAD2599"/>
    <n v="2026"/>
  </r>
  <r>
    <s v="2026-03-14"/>
    <x v="2"/>
    <s v="ORD0073"/>
    <x v="2"/>
    <s v="Maharashtra"/>
    <s v="Mumbai"/>
    <x v="4"/>
    <s v="Sales_10"/>
    <s v="Amazon"/>
    <x v="1"/>
    <x v="1"/>
    <x v="1"/>
    <n v="6"/>
    <n v="31941"/>
    <n v="191646"/>
    <n v="100189"/>
    <s v="LEAD3465"/>
    <n v="2026"/>
  </r>
  <r>
    <s v="2026-03-15"/>
    <x v="2"/>
    <s v="ORD0074"/>
    <x v="3"/>
    <s v="Delhi"/>
    <s v="Ahmedabad"/>
    <x v="1"/>
    <s v="Sales_11"/>
    <s v="Retail Store"/>
    <x v="1"/>
    <x v="2"/>
    <x v="2"/>
    <n v="4"/>
    <n v="35971"/>
    <n v="143884"/>
    <n v="75628"/>
    <s v="LEAD2503"/>
    <n v="2026"/>
  </r>
  <r>
    <s v="2026-03-16"/>
    <x v="2"/>
    <s v="ORD0075"/>
    <x v="0"/>
    <s v="Delhi"/>
    <s v="Kolkata"/>
    <x v="1"/>
    <s v="Sales_14"/>
    <s v="Retail Store"/>
    <x v="0"/>
    <x v="0"/>
    <x v="4"/>
    <n v="6"/>
    <n v="3949"/>
    <n v="23694"/>
    <n v="135411"/>
    <s v="LEAD1459"/>
    <n v="2026"/>
  </r>
  <r>
    <s v="2026-03-17"/>
    <x v="2"/>
    <s v="ORD0076"/>
    <x v="2"/>
    <s v="Gujarat"/>
    <s v="Mumbai"/>
    <x v="0"/>
    <s v="Sales_28"/>
    <s v="Retail Store"/>
    <x v="2"/>
    <x v="1"/>
    <x v="4"/>
    <n v="8"/>
    <n v="46234"/>
    <n v="369872"/>
    <n v="125021"/>
    <s v="LEAD3630"/>
    <n v="2026"/>
  </r>
  <r>
    <s v="2026-03-18"/>
    <x v="2"/>
    <s v="ORD0077"/>
    <x v="0"/>
    <s v="West Bengal"/>
    <s v="Bangalore"/>
    <x v="0"/>
    <s v="Sales_10"/>
    <s v="Amazon"/>
    <x v="2"/>
    <x v="1"/>
    <x v="1"/>
    <n v="6"/>
    <n v="36590"/>
    <n v="219540"/>
    <n v="52537"/>
    <s v="LEAD1487"/>
    <n v="2026"/>
  </r>
  <r>
    <s v="2026-03-19"/>
    <x v="2"/>
    <s v="ORD0078"/>
    <x v="3"/>
    <s v="Karnataka"/>
    <s v="Chennai"/>
    <x v="6"/>
    <s v="Sales_15"/>
    <s v="Website"/>
    <x v="1"/>
    <x v="2"/>
    <x v="3"/>
    <n v="4"/>
    <n v="19407"/>
    <n v="77628"/>
    <n v="137756"/>
    <s v="LEAD1337"/>
    <n v="2026"/>
  </r>
  <r>
    <s v="2026-03-20"/>
    <x v="2"/>
    <s v="ORD0079"/>
    <x v="1"/>
    <s v="Tamil Nadu"/>
    <s v="Delhi"/>
    <x v="0"/>
    <s v="Sales_29"/>
    <s v="Amazon"/>
    <x v="1"/>
    <x v="2"/>
    <x v="0"/>
    <n v="7"/>
    <n v="15328"/>
    <n v="107296"/>
    <n v="126446"/>
    <s v="LEAD4943"/>
    <n v="2026"/>
  </r>
  <r>
    <s v="2026-03-21"/>
    <x v="2"/>
    <s v="ORD0080"/>
    <x v="2"/>
    <s v="Gujarat"/>
    <s v="Ahmedabad"/>
    <x v="5"/>
    <s v="Sales_6"/>
    <s v="Website"/>
    <x v="0"/>
    <x v="1"/>
    <x v="0"/>
    <n v="10"/>
    <n v="35298"/>
    <n v="352980"/>
    <n v="46467"/>
    <s v="LEAD2694"/>
    <n v="2026"/>
  </r>
  <r>
    <s v="2026-03-22"/>
    <x v="2"/>
    <s v="ORD0081"/>
    <x v="3"/>
    <s v="Tamil Nadu"/>
    <s v="Mumbai"/>
    <x v="3"/>
    <s v="Sales_7"/>
    <s v="Amazon"/>
    <x v="1"/>
    <x v="1"/>
    <x v="1"/>
    <n v="9"/>
    <n v="39229"/>
    <n v="353061"/>
    <n v="11529"/>
    <s v="LEAD1871"/>
    <n v="2026"/>
  </r>
  <r>
    <s v="2026-03-23"/>
    <x v="2"/>
    <s v="ORD0082"/>
    <x v="1"/>
    <s v="Maharashtra"/>
    <s v="Kolkata"/>
    <x v="2"/>
    <s v="Sales_26"/>
    <s v="WhatsApp"/>
    <x v="2"/>
    <x v="3"/>
    <x v="1"/>
    <n v="3"/>
    <n v="17817"/>
    <n v="53451"/>
    <n v="133332"/>
    <s v="LEAD3221"/>
    <n v="2026"/>
  </r>
  <r>
    <s v="2026-03-24"/>
    <x v="2"/>
    <s v="ORD0083"/>
    <x v="3"/>
    <s v="Gujarat"/>
    <s v="Delhi"/>
    <x v="7"/>
    <s v="Sales_1"/>
    <s v="WhatsApp"/>
    <x v="2"/>
    <x v="2"/>
    <x v="3"/>
    <n v="1"/>
    <n v="45858"/>
    <n v="45858"/>
    <n v="36072"/>
    <s v="LEAD3631"/>
    <n v="2026"/>
  </r>
  <r>
    <s v="2026-03-25"/>
    <x v="2"/>
    <s v="ORD0084"/>
    <x v="3"/>
    <s v="Maharashtra"/>
    <s v="Bangalore"/>
    <x v="1"/>
    <s v="Sales_3"/>
    <s v="Retail Store"/>
    <x v="2"/>
    <x v="2"/>
    <x v="1"/>
    <n v="7"/>
    <n v="3615"/>
    <n v="25305"/>
    <n v="40586"/>
    <s v="LEAD1385"/>
    <n v="2026"/>
  </r>
  <r>
    <s v="2026-03-26"/>
    <x v="2"/>
    <s v="ORD0085"/>
    <x v="3"/>
    <s v="Gujarat"/>
    <s v="Mumbai"/>
    <x v="3"/>
    <s v="Sales_9"/>
    <s v="WhatsApp"/>
    <x v="1"/>
    <x v="1"/>
    <x v="4"/>
    <n v="4"/>
    <n v="11468"/>
    <n v="45872"/>
    <n v="80259"/>
    <s v="LEAD3673"/>
    <n v="2026"/>
  </r>
  <r>
    <s v="2026-03-27"/>
    <x v="2"/>
    <s v="ORD0086"/>
    <x v="3"/>
    <s v="Maharashtra"/>
    <s v="Bangalore"/>
    <x v="1"/>
    <s v="Sales_20"/>
    <s v="Amazon"/>
    <x v="0"/>
    <x v="2"/>
    <x v="1"/>
    <n v="8"/>
    <n v="28714"/>
    <n v="229712"/>
    <n v="122897"/>
    <s v="LEAD1060"/>
    <n v="2026"/>
  </r>
  <r>
    <s v="2026-03-28"/>
    <x v="2"/>
    <s v="ORD0087"/>
    <x v="2"/>
    <s v="Tamil Nadu"/>
    <s v="Ahmedabad"/>
    <x v="6"/>
    <s v="Sales_29"/>
    <s v="Amazon"/>
    <x v="2"/>
    <x v="3"/>
    <x v="3"/>
    <n v="6"/>
    <n v="18752"/>
    <n v="112512"/>
    <n v="87307"/>
    <s v="LEAD3357"/>
    <n v="2026"/>
  </r>
  <r>
    <s v="2026-03-29"/>
    <x v="2"/>
    <s v="ORD0088"/>
    <x v="3"/>
    <s v="Gujarat"/>
    <s v="Kolkata"/>
    <x v="5"/>
    <s v="Sales_9"/>
    <s v="Retail Store"/>
    <x v="1"/>
    <x v="2"/>
    <x v="6"/>
    <n v="7"/>
    <n v="15476"/>
    <n v="108332"/>
    <n v="144915"/>
    <s v="LEAD4231"/>
    <n v="2026"/>
  </r>
  <r>
    <s v="2026-03-30"/>
    <x v="2"/>
    <s v="ORD0089"/>
    <x v="1"/>
    <s v="Gujarat"/>
    <s v="Bangalore"/>
    <x v="4"/>
    <s v="Sales_19"/>
    <s v="Retail Store"/>
    <x v="2"/>
    <x v="2"/>
    <x v="0"/>
    <n v="3"/>
    <n v="34851"/>
    <n v="104553"/>
    <n v="12174"/>
    <s v="LEAD1870"/>
    <n v="2026"/>
  </r>
  <r>
    <s v="2026-03-31"/>
    <x v="2"/>
    <s v="ORD0090"/>
    <x v="3"/>
    <s v="Karnataka"/>
    <s v="Kolkata"/>
    <x v="4"/>
    <s v="Sales_16"/>
    <s v="Website"/>
    <x v="2"/>
    <x v="2"/>
    <x v="0"/>
    <n v="6"/>
    <n v="28895"/>
    <n v="173370"/>
    <n v="94886"/>
    <s v="LEAD3864"/>
    <n v="2026"/>
  </r>
  <r>
    <s v="2026-04-01"/>
    <x v="3"/>
    <s v="ORD0091"/>
    <x v="1"/>
    <s v="Delhi"/>
    <s v="Kolkata"/>
    <x v="4"/>
    <s v="Sales_27"/>
    <s v="WhatsApp"/>
    <x v="2"/>
    <x v="2"/>
    <x v="1"/>
    <n v="9"/>
    <n v="27169"/>
    <n v="244521"/>
    <n v="140651"/>
    <s v="LEAD3849"/>
    <n v="2026"/>
  </r>
  <r>
    <s v="2026-04-02"/>
    <x v="3"/>
    <s v="ORD0092"/>
    <x v="3"/>
    <s v="Maharashtra"/>
    <s v="Kolkata"/>
    <x v="2"/>
    <s v="Sales_17"/>
    <s v="Amazon"/>
    <x v="0"/>
    <x v="0"/>
    <x v="7"/>
    <n v="1"/>
    <n v="11074"/>
    <n v="11074"/>
    <n v="125267"/>
    <s v="LEAD1203"/>
    <n v="2026"/>
  </r>
  <r>
    <s v="2026-04-03"/>
    <x v="3"/>
    <s v="ORD0093"/>
    <x v="2"/>
    <s v="Karnataka"/>
    <s v="Kolkata"/>
    <x v="3"/>
    <s v="Sales_6"/>
    <s v="Retail Store"/>
    <x v="1"/>
    <x v="3"/>
    <x v="6"/>
    <n v="8"/>
    <n v="35326"/>
    <n v="282608"/>
    <n v="106807"/>
    <s v="LEAD3574"/>
    <n v="2026"/>
  </r>
  <r>
    <s v="2026-04-04"/>
    <x v="3"/>
    <s v="ORD0094"/>
    <x v="0"/>
    <s v="Tamil Nadu"/>
    <s v="Mumbai"/>
    <x v="2"/>
    <s v="Sales_4"/>
    <s v="Website"/>
    <x v="2"/>
    <x v="3"/>
    <x v="6"/>
    <n v="6"/>
    <n v="6745"/>
    <n v="40470"/>
    <n v="121645"/>
    <s v="LEAD1679"/>
    <n v="2026"/>
  </r>
  <r>
    <s v="2026-04-05"/>
    <x v="3"/>
    <s v="ORD0095"/>
    <x v="1"/>
    <s v="Gujarat"/>
    <s v="Mumbai"/>
    <x v="7"/>
    <s v="Sales_12"/>
    <s v="Website"/>
    <x v="1"/>
    <x v="2"/>
    <x v="7"/>
    <n v="6"/>
    <n v="36573"/>
    <n v="219438"/>
    <n v="40637"/>
    <s v="LEAD4617"/>
    <n v="2026"/>
  </r>
  <r>
    <s v="2026-04-06"/>
    <x v="3"/>
    <s v="ORD0096"/>
    <x v="1"/>
    <s v="Maharashtra"/>
    <s v="Ahmedabad"/>
    <x v="6"/>
    <s v="Sales_17"/>
    <s v="WhatsApp"/>
    <x v="2"/>
    <x v="2"/>
    <x v="7"/>
    <n v="6"/>
    <n v="44607"/>
    <n v="267642"/>
    <n v="148625"/>
    <s v="LEAD4071"/>
    <n v="2026"/>
  </r>
  <r>
    <s v="2026-04-07"/>
    <x v="3"/>
    <s v="ORD0097"/>
    <x v="3"/>
    <s v="Gujarat"/>
    <s v="Mumbai"/>
    <x v="6"/>
    <s v="Sales_27"/>
    <s v="Website"/>
    <x v="2"/>
    <x v="2"/>
    <x v="0"/>
    <n v="5"/>
    <n v="13561"/>
    <n v="67805"/>
    <n v="120452"/>
    <s v="LEAD4095"/>
    <n v="2026"/>
  </r>
  <r>
    <s v="2026-04-08"/>
    <x v="3"/>
    <s v="ORD0098"/>
    <x v="0"/>
    <s v="Gujarat"/>
    <s v="Delhi"/>
    <x v="2"/>
    <s v="Sales_22"/>
    <s v="Retail Store"/>
    <x v="1"/>
    <x v="2"/>
    <x v="3"/>
    <n v="10"/>
    <n v="49372"/>
    <n v="493720"/>
    <n v="123739"/>
    <s v="LEAD3315"/>
    <n v="2026"/>
  </r>
  <r>
    <s v="2026-04-09"/>
    <x v="3"/>
    <s v="ORD0099"/>
    <x v="0"/>
    <s v="West Bengal"/>
    <s v="Kolkata"/>
    <x v="2"/>
    <s v="Sales_20"/>
    <s v="WhatsApp"/>
    <x v="1"/>
    <x v="0"/>
    <x v="6"/>
    <n v="6"/>
    <n v="17960"/>
    <n v="107760"/>
    <n v="46442"/>
    <s v="LEAD4127"/>
    <n v="2026"/>
  </r>
  <r>
    <s v="2026-04-10"/>
    <x v="3"/>
    <s v="ORD0100"/>
    <x v="3"/>
    <s v="West Bengal"/>
    <s v="Ahmedabad"/>
    <x v="5"/>
    <s v="Sales_14"/>
    <s v="Amazon"/>
    <x v="1"/>
    <x v="3"/>
    <x v="1"/>
    <n v="5"/>
    <n v="31798"/>
    <n v="158990"/>
    <n v="25611"/>
    <s v="LEAD1290"/>
    <n v="2026"/>
  </r>
  <r>
    <s v="2026-04-11"/>
    <x v="3"/>
    <s v="ORD0101"/>
    <x v="2"/>
    <s v="West Bengal"/>
    <s v="Ahmedabad"/>
    <x v="0"/>
    <s v="Sales_3"/>
    <s v="Amazon"/>
    <x v="1"/>
    <x v="3"/>
    <x v="0"/>
    <n v="9"/>
    <n v="31802"/>
    <n v="286218"/>
    <n v="106260"/>
    <s v="LEAD1082"/>
    <n v="2026"/>
  </r>
  <r>
    <s v="2026-04-12"/>
    <x v="3"/>
    <s v="ORD0102"/>
    <x v="3"/>
    <s v="Gujarat"/>
    <s v="Chennai"/>
    <x v="3"/>
    <s v="Sales_25"/>
    <s v="Amazon"/>
    <x v="0"/>
    <x v="1"/>
    <x v="4"/>
    <n v="7"/>
    <n v="34481"/>
    <n v="241367"/>
    <n v="108803"/>
    <s v="LEAD1933"/>
    <n v="2026"/>
  </r>
  <r>
    <s v="2026-04-13"/>
    <x v="3"/>
    <s v="ORD0103"/>
    <x v="2"/>
    <s v="Tamil Nadu"/>
    <s v="Mumbai"/>
    <x v="0"/>
    <s v="Sales_29"/>
    <s v="Website"/>
    <x v="0"/>
    <x v="0"/>
    <x v="4"/>
    <n v="8"/>
    <n v="28955"/>
    <n v="231640"/>
    <n v="128540"/>
    <s v="LEAD1285"/>
    <n v="2026"/>
  </r>
  <r>
    <s v="2026-04-14"/>
    <x v="3"/>
    <s v="ORD0104"/>
    <x v="2"/>
    <s v="West Bengal"/>
    <s v="Delhi"/>
    <x v="5"/>
    <s v="Sales_24"/>
    <s v="Website"/>
    <x v="1"/>
    <x v="1"/>
    <x v="1"/>
    <n v="2"/>
    <n v="22118"/>
    <n v="44236"/>
    <n v="70174"/>
    <s v="LEAD4179"/>
    <n v="2026"/>
  </r>
  <r>
    <s v="2026-04-15"/>
    <x v="3"/>
    <s v="ORD0105"/>
    <x v="2"/>
    <s v="Tamil Nadu"/>
    <s v="Delhi"/>
    <x v="3"/>
    <s v="Sales_13"/>
    <s v="Website"/>
    <x v="1"/>
    <x v="3"/>
    <x v="3"/>
    <n v="1"/>
    <n v="41254"/>
    <n v="41254"/>
    <n v="117987"/>
    <s v="LEAD2775"/>
    <n v="2026"/>
  </r>
  <r>
    <s v="2026-04-16"/>
    <x v="3"/>
    <s v="ORD0106"/>
    <x v="0"/>
    <s v="Karnataka"/>
    <s v="Delhi"/>
    <x v="4"/>
    <s v="Sales_13"/>
    <s v="Website"/>
    <x v="1"/>
    <x v="2"/>
    <x v="2"/>
    <n v="5"/>
    <n v="19518"/>
    <n v="97590"/>
    <n v="112801"/>
    <s v="LEAD4689"/>
    <n v="2026"/>
  </r>
  <r>
    <s v="2026-04-17"/>
    <x v="3"/>
    <s v="ORD0107"/>
    <x v="2"/>
    <s v="Maharashtra"/>
    <s v="Bangalore"/>
    <x v="1"/>
    <s v="Sales_19"/>
    <s v="Retail Store"/>
    <x v="2"/>
    <x v="3"/>
    <x v="1"/>
    <n v="5"/>
    <n v="2155"/>
    <n v="10775"/>
    <n v="51086"/>
    <s v="LEAD1190"/>
    <n v="2026"/>
  </r>
  <r>
    <s v="2026-04-18"/>
    <x v="3"/>
    <s v="ORD0108"/>
    <x v="0"/>
    <s v="Delhi"/>
    <s v="Ahmedabad"/>
    <x v="2"/>
    <s v="Sales_30"/>
    <s v="Amazon"/>
    <x v="0"/>
    <x v="3"/>
    <x v="2"/>
    <n v="5"/>
    <n v="36446"/>
    <n v="182230"/>
    <n v="126399"/>
    <s v="LEAD1046"/>
    <n v="2026"/>
  </r>
  <r>
    <s v="2026-04-19"/>
    <x v="3"/>
    <s v="ORD0109"/>
    <x v="0"/>
    <s v="Tamil Nadu"/>
    <s v="Delhi"/>
    <x v="0"/>
    <s v="Sales_14"/>
    <s v="Retail Store"/>
    <x v="1"/>
    <x v="1"/>
    <x v="5"/>
    <n v="10"/>
    <n v="29859"/>
    <n v="298590"/>
    <n v="45378"/>
    <s v="LEAD2456"/>
    <n v="2026"/>
  </r>
  <r>
    <s v="2026-04-20"/>
    <x v="3"/>
    <s v="ORD0110"/>
    <x v="2"/>
    <s v="Delhi"/>
    <s v="Ahmedabad"/>
    <x v="4"/>
    <s v="Sales_12"/>
    <s v="Amazon"/>
    <x v="0"/>
    <x v="3"/>
    <x v="7"/>
    <n v="7"/>
    <n v="48455"/>
    <n v="339185"/>
    <n v="55369"/>
    <s v="LEAD1366"/>
    <n v="2026"/>
  </r>
  <r>
    <s v="2026-04-21"/>
    <x v="3"/>
    <s v="ORD0111"/>
    <x v="0"/>
    <s v="West Bengal"/>
    <s v="Ahmedabad"/>
    <x v="4"/>
    <s v="Sales_7"/>
    <s v="Website"/>
    <x v="2"/>
    <x v="3"/>
    <x v="2"/>
    <n v="6"/>
    <n v="24773"/>
    <n v="148638"/>
    <n v="33902"/>
    <s v="LEAD4086"/>
    <n v="2026"/>
  </r>
  <r>
    <s v="2026-04-22"/>
    <x v="3"/>
    <s v="ORD0112"/>
    <x v="0"/>
    <s v="Maharashtra"/>
    <s v="Chennai"/>
    <x v="1"/>
    <s v="Sales_3"/>
    <s v="Website"/>
    <x v="0"/>
    <x v="1"/>
    <x v="3"/>
    <n v="4"/>
    <n v="15445"/>
    <n v="61780"/>
    <n v="86271"/>
    <s v="LEAD1159"/>
    <n v="2026"/>
  </r>
  <r>
    <s v="2026-04-23"/>
    <x v="3"/>
    <s v="ORD0113"/>
    <x v="3"/>
    <s v="Gujarat"/>
    <s v="Chennai"/>
    <x v="3"/>
    <s v="Sales_7"/>
    <s v="WhatsApp"/>
    <x v="1"/>
    <x v="0"/>
    <x v="7"/>
    <n v="10"/>
    <n v="3483"/>
    <n v="34830"/>
    <n v="127415"/>
    <s v="LEAD4279"/>
    <n v="2026"/>
  </r>
  <r>
    <s v="2026-04-24"/>
    <x v="3"/>
    <s v="ORD0114"/>
    <x v="3"/>
    <s v="Delhi"/>
    <s v="Ahmedabad"/>
    <x v="3"/>
    <s v="Sales_6"/>
    <s v="Retail Store"/>
    <x v="2"/>
    <x v="1"/>
    <x v="3"/>
    <n v="4"/>
    <n v="35548"/>
    <n v="142192"/>
    <n v="92456"/>
    <s v="LEAD2286"/>
    <n v="2026"/>
  </r>
  <r>
    <s v="2026-04-25"/>
    <x v="3"/>
    <s v="ORD0115"/>
    <x v="2"/>
    <s v="Gujarat"/>
    <s v="Kolkata"/>
    <x v="2"/>
    <s v="Sales_24"/>
    <s v="Website"/>
    <x v="2"/>
    <x v="3"/>
    <x v="7"/>
    <n v="9"/>
    <n v="14693"/>
    <n v="132237"/>
    <n v="76887"/>
    <s v="LEAD4693"/>
    <n v="2026"/>
  </r>
  <r>
    <s v="2026-04-26"/>
    <x v="3"/>
    <s v="ORD0116"/>
    <x v="2"/>
    <s v="Karnataka"/>
    <s v="Delhi"/>
    <x v="6"/>
    <s v="Sales_13"/>
    <s v="Website"/>
    <x v="2"/>
    <x v="2"/>
    <x v="3"/>
    <n v="5"/>
    <n v="8947"/>
    <n v="44735"/>
    <n v="92073"/>
    <s v="LEAD1111"/>
    <n v="2026"/>
  </r>
  <r>
    <s v="2026-04-27"/>
    <x v="3"/>
    <s v="ORD0117"/>
    <x v="1"/>
    <s v="Maharashtra"/>
    <s v="Chennai"/>
    <x v="6"/>
    <s v="Sales_28"/>
    <s v="Website"/>
    <x v="0"/>
    <x v="0"/>
    <x v="1"/>
    <n v="3"/>
    <n v="38494"/>
    <n v="115482"/>
    <n v="135856"/>
    <s v="LEAD3185"/>
    <n v="2026"/>
  </r>
  <r>
    <s v="2026-04-28"/>
    <x v="3"/>
    <s v="ORD0118"/>
    <x v="0"/>
    <s v="Gujarat"/>
    <s v="Delhi"/>
    <x v="6"/>
    <s v="Sales_23"/>
    <s v="Retail Store"/>
    <x v="2"/>
    <x v="3"/>
    <x v="3"/>
    <n v="4"/>
    <n v="14354"/>
    <n v="57416"/>
    <n v="79847"/>
    <s v="LEAD2200"/>
    <n v="2026"/>
  </r>
  <r>
    <s v="2026-04-29"/>
    <x v="3"/>
    <s v="ORD0119"/>
    <x v="1"/>
    <s v="Karnataka"/>
    <s v="Delhi"/>
    <x v="7"/>
    <s v="Sales_2"/>
    <s v="Amazon"/>
    <x v="2"/>
    <x v="1"/>
    <x v="1"/>
    <n v="10"/>
    <n v="15852"/>
    <n v="158520"/>
    <n v="132054"/>
    <s v="LEAD4268"/>
    <n v="2026"/>
  </r>
  <r>
    <s v="2026-04-30"/>
    <x v="3"/>
    <s v="ORD0120"/>
    <x v="0"/>
    <s v="West Bengal"/>
    <s v="Kolkata"/>
    <x v="3"/>
    <s v="Sales_5"/>
    <s v="Website"/>
    <x v="1"/>
    <x v="3"/>
    <x v="0"/>
    <n v="6"/>
    <n v="26682"/>
    <n v="160092"/>
    <n v="108403"/>
    <s v="LEAD2056"/>
    <n v="2026"/>
  </r>
  <r>
    <s v="2026-05-01"/>
    <x v="4"/>
    <s v="ORD0121"/>
    <x v="1"/>
    <s v="Karnataka"/>
    <s v="Mumbai"/>
    <x v="6"/>
    <s v="Sales_30"/>
    <s v="Amazon"/>
    <x v="1"/>
    <x v="2"/>
    <x v="4"/>
    <n v="7"/>
    <n v="20093"/>
    <n v="140651"/>
    <n v="40330"/>
    <s v="LEAD1058"/>
    <n v="2026"/>
  </r>
  <r>
    <s v="2026-05-02"/>
    <x v="4"/>
    <s v="ORD0122"/>
    <x v="0"/>
    <s v="Delhi"/>
    <s v="Mumbai"/>
    <x v="3"/>
    <s v="Sales_24"/>
    <s v="Website"/>
    <x v="0"/>
    <x v="0"/>
    <x v="1"/>
    <n v="5"/>
    <n v="21904"/>
    <n v="109520"/>
    <n v="134455"/>
    <s v="LEAD4167"/>
    <n v="2026"/>
  </r>
  <r>
    <s v="2026-05-03"/>
    <x v="4"/>
    <s v="ORD0123"/>
    <x v="2"/>
    <s v="Gujarat"/>
    <s v="Mumbai"/>
    <x v="0"/>
    <s v="Sales_18"/>
    <s v="Amazon"/>
    <x v="2"/>
    <x v="2"/>
    <x v="1"/>
    <n v="5"/>
    <n v="26507"/>
    <n v="132535"/>
    <n v="110158"/>
    <s v="LEAD4345"/>
    <n v="2026"/>
  </r>
  <r>
    <s v="2026-05-04"/>
    <x v="4"/>
    <s v="ORD0124"/>
    <x v="0"/>
    <s v="Tamil Nadu"/>
    <s v="Chennai"/>
    <x v="5"/>
    <s v="Sales_11"/>
    <s v="Amazon"/>
    <x v="0"/>
    <x v="0"/>
    <x v="7"/>
    <n v="1"/>
    <n v="23057"/>
    <n v="23057"/>
    <n v="93479"/>
    <s v="LEAD2032"/>
    <n v="2026"/>
  </r>
  <r>
    <s v="2026-05-05"/>
    <x v="4"/>
    <s v="ORD0125"/>
    <x v="3"/>
    <s v="Karnataka"/>
    <s v="Chennai"/>
    <x v="0"/>
    <s v="Sales_16"/>
    <s v="Website"/>
    <x v="2"/>
    <x v="2"/>
    <x v="3"/>
    <n v="6"/>
    <n v="18570"/>
    <n v="111420"/>
    <n v="30630"/>
    <s v="LEAD1916"/>
    <n v="2026"/>
  </r>
  <r>
    <s v="2026-05-06"/>
    <x v="4"/>
    <s v="ORD0126"/>
    <x v="1"/>
    <s v="Gujarat"/>
    <s v="Chennai"/>
    <x v="4"/>
    <s v="Sales_27"/>
    <s v="Retail Store"/>
    <x v="2"/>
    <x v="2"/>
    <x v="0"/>
    <n v="9"/>
    <n v="28730"/>
    <n v="258570"/>
    <n v="115177"/>
    <s v="LEAD2378"/>
    <n v="2026"/>
  </r>
  <r>
    <s v="2026-05-07"/>
    <x v="4"/>
    <s v="ORD0127"/>
    <x v="1"/>
    <s v="Tamil Nadu"/>
    <s v="Mumbai"/>
    <x v="7"/>
    <s v="Sales_6"/>
    <s v="Website"/>
    <x v="1"/>
    <x v="3"/>
    <x v="7"/>
    <n v="5"/>
    <n v="37996"/>
    <n v="189980"/>
    <n v="76221"/>
    <s v="LEAD1409"/>
    <n v="2026"/>
  </r>
  <r>
    <s v="2026-05-08"/>
    <x v="4"/>
    <s v="ORD0128"/>
    <x v="0"/>
    <s v="Karnataka"/>
    <s v="Bangalore"/>
    <x v="7"/>
    <s v="Sales_24"/>
    <s v="Retail Store"/>
    <x v="2"/>
    <x v="1"/>
    <x v="7"/>
    <n v="5"/>
    <n v="9062"/>
    <n v="45310"/>
    <n v="48211"/>
    <s v="LEAD3445"/>
    <n v="2026"/>
  </r>
  <r>
    <s v="2026-05-09"/>
    <x v="4"/>
    <s v="ORD0129"/>
    <x v="3"/>
    <s v="Maharashtra"/>
    <s v="Kolkata"/>
    <x v="6"/>
    <s v="Sales_1"/>
    <s v="WhatsApp"/>
    <x v="2"/>
    <x v="2"/>
    <x v="0"/>
    <n v="1"/>
    <n v="19044"/>
    <n v="19044"/>
    <n v="68018"/>
    <s v="LEAD3565"/>
    <n v="2026"/>
  </r>
  <r>
    <s v="2026-05-10"/>
    <x v="4"/>
    <s v="ORD0130"/>
    <x v="3"/>
    <s v="Karnataka"/>
    <s v="Bangalore"/>
    <x v="3"/>
    <s v="Sales_18"/>
    <s v="Website"/>
    <x v="0"/>
    <x v="0"/>
    <x v="4"/>
    <n v="8"/>
    <n v="12741"/>
    <n v="101928"/>
    <n v="119046"/>
    <s v="LEAD4566"/>
    <n v="2026"/>
  </r>
  <r>
    <s v="2026-05-11"/>
    <x v="4"/>
    <s v="ORD0131"/>
    <x v="2"/>
    <s v="Delhi"/>
    <s v="Kolkata"/>
    <x v="7"/>
    <s v="Sales_20"/>
    <s v="Retail Store"/>
    <x v="1"/>
    <x v="0"/>
    <x v="7"/>
    <n v="9"/>
    <n v="49756"/>
    <n v="447804"/>
    <n v="92958"/>
    <s v="LEAD2095"/>
    <n v="2026"/>
  </r>
  <r>
    <s v="2026-05-12"/>
    <x v="4"/>
    <s v="ORD0132"/>
    <x v="0"/>
    <s v="Gujarat"/>
    <s v="Ahmedabad"/>
    <x v="5"/>
    <s v="Sales_18"/>
    <s v="Amazon"/>
    <x v="1"/>
    <x v="2"/>
    <x v="0"/>
    <n v="6"/>
    <n v="16798"/>
    <n v="100788"/>
    <n v="35371"/>
    <s v="LEAD1197"/>
    <n v="2026"/>
  </r>
  <r>
    <s v="2026-05-13"/>
    <x v="4"/>
    <s v="ORD0133"/>
    <x v="0"/>
    <s v="Gujarat"/>
    <s v="Ahmedabad"/>
    <x v="2"/>
    <s v="Sales_16"/>
    <s v="WhatsApp"/>
    <x v="1"/>
    <x v="1"/>
    <x v="7"/>
    <n v="3"/>
    <n v="25370"/>
    <n v="76110"/>
    <n v="101385"/>
    <s v="LEAD4021"/>
    <n v="2026"/>
  </r>
  <r>
    <s v="2026-05-14"/>
    <x v="4"/>
    <s v="ORD0134"/>
    <x v="1"/>
    <s v="Maharashtra"/>
    <s v="Chennai"/>
    <x v="4"/>
    <s v="Sales_20"/>
    <s v="WhatsApp"/>
    <x v="2"/>
    <x v="2"/>
    <x v="1"/>
    <n v="1"/>
    <n v="21053"/>
    <n v="21053"/>
    <n v="131197"/>
    <s v="LEAD1353"/>
    <n v="2026"/>
  </r>
  <r>
    <s v="2026-05-15"/>
    <x v="4"/>
    <s v="ORD0135"/>
    <x v="1"/>
    <s v="Delhi"/>
    <s v="Mumbai"/>
    <x v="7"/>
    <s v="Sales_12"/>
    <s v="WhatsApp"/>
    <x v="0"/>
    <x v="2"/>
    <x v="4"/>
    <n v="4"/>
    <n v="3612"/>
    <n v="14448"/>
    <n v="50700"/>
    <s v="LEAD2174"/>
    <n v="2026"/>
  </r>
  <r>
    <s v="2026-05-16"/>
    <x v="4"/>
    <s v="ORD0136"/>
    <x v="2"/>
    <s v="Tamil Nadu"/>
    <s v="Kolkata"/>
    <x v="6"/>
    <s v="Sales_18"/>
    <s v="WhatsApp"/>
    <x v="2"/>
    <x v="1"/>
    <x v="3"/>
    <n v="9"/>
    <n v="34785"/>
    <n v="313065"/>
    <n v="87360"/>
    <s v="LEAD4646"/>
    <n v="2026"/>
  </r>
  <r>
    <s v="2026-05-17"/>
    <x v="4"/>
    <s v="ORD0137"/>
    <x v="1"/>
    <s v="Gujarat"/>
    <s v="Ahmedabad"/>
    <x v="3"/>
    <s v="Sales_8"/>
    <s v="Website"/>
    <x v="1"/>
    <x v="2"/>
    <x v="7"/>
    <n v="1"/>
    <n v="13883"/>
    <n v="13883"/>
    <n v="130027"/>
    <s v="LEAD1056"/>
    <n v="2026"/>
  </r>
  <r>
    <s v="2026-05-18"/>
    <x v="4"/>
    <s v="ORD0138"/>
    <x v="1"/>
    <s v="Delhi"/>
    <s v="Bangalore"/>
    <x v="1"/>
    <s v="Sales_5"/>
    <s v="Website"/>
    <x v="2"/>
    <x v="0"/>
    <x v="4"/>
    <n v="8"/>
    <n v="49066"/>
    <n v="392528"/>
    <n v="92563"/>
    <s v="LEAD2229"/>
    <n v="2026"/>
  </r>
  <r>
    <s v="2026-05-19"/>
    <x v="4"/>
    <s v="ORD0139"/>
    <x v="0"/>
    <s v="Karnataka"/>
    <s v="Mumbai"/>
    <x v="1"/>
    <s v="Sales_5"/>
    <s v="Retail Store"/>
    <x v="0"/>
    <x v="3"/>
    <x v="3"/>
    <n v="1"/>
    <n v="26571"/>
    <n v="26571"/>
    <n v="90494"/>
    <s v="LEAD4787"/>
    <n v="2026"/>
  </r>
  <r>
    <s v="2026-05-20"/>
    <x v="4"/>
    <s v="ORD0140"/>
    <x v="1"/>
    <s v="Maharashtra"/>
    <s v="Delhi"/>
    <x v="2"/>
    <s v="Sales_24"/>
    <s v="Amazon"/>
    <x v="2"/>
    <x v="2"/>
    <x v="2"/>
    <n v="1"/>
    <n v="2906"/>
    <n v="2906"/>
    <n v="39152"/>
    <s v="LEAD1415"/>
    <n v="2026"/>
  </r>
  <r>
    <s v="2026-05-21"/>
    <x v="4"/>
    <s v="ORD0141"/>
    <x v="0"/>
    <s v="West Bengal"/>
    <s v="Ahmedabad"/>
    <x v="2"/>
    <s v="Sales_11"/>
    <s v="Retail Store"/>
    <x v="1"/>
    <x v="1"/>
    <x v="2"/>
    <n v="8"/>
    <n v="46255"/>
    <n v="370040"/>
    <n v="109748"/>
    <s v="LEAD1472"/>
    <n v="2026"/>
  </r>
  <r>
    <s v="2026-05-22"/>
    <x v="4"/>
    <s v="ORD0142"/>
    <x v="2"/>
    <s v="Maharashtra"/>
    <s v="Mumbai"/>
    <x v="1"/>
    <s v="Sales_24"/>
    <s v="Website"/>
    <x v="1"/>
    <x v="3"/>
    <x v="7"/>
    <n v="9"/>
    <n v="1216"/>
    <n v="10944"/>
    <n v="99498"/>
    <s v="LEAD4945"/>
    <n v="2026"/>
  </r>
  <r>
    <s v="2026-05-23"/>
    <x v="4"/>
    <s v="ORD0143"/>
    <x v="2"/>
    <s v="Gujarat"/>
    <s v="Bangalore"/>
    <x v="4"/>
    <s v="Sales_6"/>
    <s v="Retail Store"/>
    <x v="2"/>
    <x v="1"/>
    <x v="7"/>
    <n v="8"/>
    <n v="17345"/>
    <n v="138760"/>
    <n v="103235"/>
    <s v="LEAD1163"/>
    <n v="2026"/>
  </r>
  <r>
    <s v="2026-05-24"/>
    <x v="4"/>
    <s v="ORD0144"/>
    <x v="2"/>
    <s v="West Bengal"/>
    <s v="Chennai"/>
    <x v="2"/>
    <s v="Sales_11"/>
    <s v="WhatsApp"/>
    <x v="1"/>
    <x v="3"/>
    <x v="0"/>
    <n v="6"/>
    <n v="22079"/>
    <n v="132474"/>
    <n v="52419"/>
    <s v="LEAD3721"/>
    <n v="2026"/>
  </r>
  <r>
    <s v="2026-05-25"/>
    <x v="4"/>
    <s v="ORD0145"/>
    <x v="0"/>
    <s v="Tamil Nadu"/>
    <s v="Kolkata"/>
    <x v="2"/>
    <s v="Sales_1"/>
    <s v="Website"/>
    <x v="0"/>
    <x v="0"/>
    <x v="7"/>
    <n v="4"/>
    <n v="21767"/>
    <n v="87068"/>
    <n v="119159"/>
    <s v="LEAD2767"/>
    <n v="2026"/>
  </r>
  <r>
    <s v="2026-05-26"/>
    <x v="4"/>
    <s v="ORD0146"/>
    <x v="3"/>
    <s v="West Bengal"/>
    <s v="Ahmedabad"/>
    <x v="3"/>
    <s v="Sales_14"/>
    <s v="WhatsApp"/>
    <x v="2"/>
    <x v="0"/>
    <x v="6"/>
    <n v="6"/>
    <n v="4288"/>
    <n v="25728"/>
    <n v="90347"/>
    <s v="LEAD2906"/>
    <n v="2026"/>
  </r>
  <r>
    <s v="2026-05-27"/>
    <x v="4"/>
    <s v="ORD0147"/>
    <x v="1"/>
    <s v="Tamil Nadu"/>
    <s v="Kolkata"/>
    <x v="4"/>
    <s v="Sales_26"/>
    <s v="Retail Store"/>
    <x v="2"/>
    <x v="2"/>
    <x v="2"/>
    <n v="3"/>
    <n v="7098"/>
    <n v="21294"/>
    <n v="86452"/>
    <s v="LEAD2913"/>
    <n v="2026"/>
  </r>
  <r>
    <s v="2026-05-28"/>
    <x v="4"/>
    <s v="ORD0148"/>
    <x v="3"/>
    <s v="Tamil Nadu"/>
    <s v="Delhi"/>
    <x v="7"/>
    <s v="Sales_8"/>
    <s v="Amazon"/>
    <x v="1"/>
    <x v="0"/>
    <x v="4"/>
    <n v="9"/>
    <n v="35083"/>
    <n v="315747"/>
    <n v="97235"/>
    <s v="LEAD2691"/>
    <n v="2026"/>
  </r>
  <r>
    <s v="2026-05-29"/>
    <x v="4"/>
    <s v="ORD0149"/>
    <x v="2"/>
    <s v="Maharashtra"/>
    <s v="Delhi"/>
    <x v="6"/>
    <s v="Sales_25"/>
    <s v="WhatsApp"/>
    <x v="0"/>
    <x v="2"/>
    <x v="4"/>
    <n v="1"/>
    <n v="32090"/>
    <n v="32090"/>
    <n v="110627"/>
    <s v="LEAD3807"/>
    <n v="2026"/>
  </r>
  <r>
    <s v="2026-05-30"/>
    <x v="4"/>
    <s v="ORD0150"/>
    <x v="2"/>
    <s v="Tamil Nadu"/>
    <s v="Mumbai"/>
    <x v="2"/>
    <s v="Sales_22"/>
    <s v="Website"/>
    <x v="0"/>
    <x v="0"/>
    <x v="7"/>
    <n v="7"/>
    <n v="34585"/>
    <n v="242095"/>
    <n v="36431"/>
    <s v="LEAD3379"/>
    <n v="2026"/>
  </r>
  <r>
    <s v="2026-05-31"/>
    <x v="4"/>
    <s v="ORD0151"/>
    <x v="0"/>
    <s v="Delhi"/>
    <s v="Mumbai"/>
    <x v="7"/>
    <s v="Sales_6"/>
    <s v="Website"/>
    <x v="1"/>
    <x v="1"/>
    <x v="5"/>
    <n v="6"/>
    <n v="38417"/>
    <n v="230502"/>
    <n v="68242"/>
    <s v="LEAD4428"/>
    <n v="2026"/>
  </r>
  <r>
    <s v="2026-06-01"/>
    <x v="5"/>
    <s v="ORD0152"/>
    <x v="3"/>
    <s v="Tamil Nadu"/>
    <s v="Chennai"/>
    <x v="5"/>
    <s v="Sales_22"/>
    <s v="WhatsApp"/>
    <x v="1"/>
    <x v="2"/>
    <x v="3"/>
    <n v="5"/>
    <n v="26612"/>
    <n v="133060"/>
    <n v="46986"/>
    <s v="LEAD1291"/>
    <n v="2026"/>
  </r>
  <r>
    <s v="2026-06-02"/>
    <x v="5"/>
    <s v="ORD0153"/>
    <x v="2"/>
    <s v="West Bengal"/>
    <s v="Chennai"/>
    <x v="5"/>
    <s v="Sales_29"/>
    <s v="Website"/>
    <x v="1"/>
    <x v="3"/>
    <x v="5"/>
    <n v="9"/>
    <n v="16282"/>
    <n v="146538"/>
    <n v="140798"/>
    <s v="LEAD3308"/>
    <n v="2026"/>
  </r>
  <r>
    <s v="2026-06-03"/>
    <x v="5"/>
    <s v="ORD0154"/>
    <x v="0"/>
    <s v="Tamil Nadu"/>
    <s v="Ahmedabad"/>
    <x v="5"/>
    <s v="Sales_11"/>
    <s v="WhatsApp"/>
    <x v="0"/>
    <x v="1"/>
    <x v="6"/>
    <n v="6"/>
    <n v="45448"/>
    <n v="272688"/>
    <n v="32162"/>
    <s v="LEAD3792"/>
    <n v="2026"/>
  </r>
  <r>
    <s v="2026-06-04"/>
    <x v="5"/>
    <s v="ORD0155"/>
    <x v="1"/>
    <s v="Maharashtra"/>
    <s v="Delhi"/>
    <x v="2"/>
    <s v="Sales_3"/>
    <s v="Website"/>
    <x v="2"/>
    <x v="1"/>
    <x v="7"/>
    <n v="5"/>
    <n v="44420"/>
    <n v="222100"/>
    <n v="139702"/>
    <s v="LEAD2365"/>
    <n v="2026"/>
  </r>
  <r>
    <s v="2026-06-05"/>
    <x v="5"/>
    <s v="ORD0156"/>
    <x v="3"/>
    <s v="Maharashtra"/>
    <s v="Delhi"/>
    <x v="6"/>
    <s v="Sales_10"/>
    <s v="Amazon"/>
    <x v="2"/>
    <x v="0"/>
    <x v="1"/>
    <n v="5"/>
    <n v="44599"/>
    <n v="222995"/>
    <n v="49942"/>
    <s v="LEAD4411"/>
    <n v="2026"/>
  </r>
  <r>
    <s v="2026-06-06"/>
    <x v="5"/>
    <s v="ORD0157"/>
    <x v="2"/>
    <s v="Delhi"/>
    <s v="Bangalore"/>
    <x v="5"/>
    <s v="Sales_27"/>
    <s v="Retail Store"/>
    <x v="1"/>
    <x v="3"/>
    <x v="0"/>
    <n v="1"/>
    <n v="42137"/>
    <n v="42137"/>
    <n v="62396"/>
    <s v="LEAD4499"/>
    <n v="2026"/>
  </r>
  <r>
    <s v="2026-06-07"/>
    <x v="5"/>
    <s v="ORD0158"/>
    <x v="0"/>
    <s v="Tamil Nadu"/>
    <s v="Mumbai"/>
    <x v="0"/>
    <s v="Sales_15"/>
    <s v="Website"/>
    <x v="2"/>
    <x v="2"/>
    <x v="0"/>
    <n v="7"/>
    <n v="11556"/>
    <n v="80892"/>
    <n v="27223"/>
    <s v="LEAD4140"/>
    <n v="2026"/>
  </r>
  <r>
    <s v="2026-06-08"/>
    <x v="5"/>
    <s v="ORD0159"/>
    <x v="3"/>
    <s v="Maharashtra"/>
    <s v="Chennai"/>
    <x v="6"/>
    <s v="Sales_11"/>
    <s v="Amazon"/>
    <x v="2"/>
    <x v="1"/>
    <x v="0"/>
    <n v="9"/>
    <n v="34272"/>
    <n v="308448"/>
    <n v="75251"/>
    <s v="LEAD2326"/>
    <n v="2026"/>
  </r>
  <r>
    <s v="2026-06-09"/>
    <x v="5"/>
    <s v="ORD0160"/>
    <x v="2"/>
    <s v="Maharashtra"/>
    <s v="Mumbai"/>
    <x v="1"/>
    <s v="Sales_19"/>
    <s v="WhatsApp"/>
    <x v="0"/>
    <x v="0"/>
    <x v="5"/>
    <n v="7"/>
    <n v="49974"/>
    <n v="349818"/>
    <n v="52710"/>
    <s v="LEAD4304"/>
    <n v="2026"/>
  </r>
  <r>
    <s v="2026-06-10"/>
    <x v="5"/>
    <s v="ORD0161"/>
    <x v="3"/>
    <s v="West Bengal"/>
    <s v="Delhi"/>
    <x v="3"/>
    <s v="Sales_15"/>
    <s v="Retail Store"/>
    <x v="2"/>
    <x v="1"/>
    <x v="1"/>
    <n v="7"/>
    <n v="17095"/>
    <n v="119665"/>
    <n v="28174"/>
    <s v="LEAD4211"/>
    <n v="2026"/>
  </r>
  <r>
    <s v="2026-06-11"/>
    <x v="5"/>
    <s v="ORD0162"/>
    <x v="3"/>
    <s v="Gujarat"/>
    <s v="Mumbai"/>
    <x v="0"/>
    <s v="Sales_11"/>
    <s v="Website"/>
    <x v="0"/>
    <x v="1"/>
    <x v="5"/>
    <n v="9"/>
    <n v="8293"/>
    <n v="74637"/>
    <n v="19072"/>
    <s v="LEAD2314"/>
    <n v="2026"/>
  </r>
  <r>
    <s v="2026-06-12"/>
    <x v="5"/>
    <s v="ORD0163"/>
    <x v="2"/>
    <s v="Karnataka"/>
    <s v="Ahmedabad"/>
    <x v="5"/>
    <s v="Sales_3"/>
    <s v="Amazon"/>
    <x v="1"/>
    <x v="0"/>
    <x v="3"/>
    <n v="2"/>
    <n v="19593"/>
    <n v="39186"/>
    <n v="126621"/>
    <s v="LEAD3156"/>
    <n v="2026"/>
  </r>
  <r>
    <s v="2026-06-13"/>
    <x v="5"/>
    <s v="ORD0164"/>
    <x v="3"/>
    <s v="Delhi"/>
    <s v="Kolkata"/>
    <x v="3"/>
    <s v="Sales_27"/>
    <s v="Website"/>
    <x v="2"/>
    <x v="0"/>
    <x v="5"/>
    <n v="8"/>
    <n v="46206"/>
    <n v="369648"/>
    <n v="97933"/>
    <s v="LEAD4526"/>
    <n v="2026"/>
  </r>
  <r>
    <s v="2026-06-14"/>
    <x v="5"/>
    <s v="ORD0165"/>
    <x v="3"/>
    <s v="Maharashtra"/>
    <s v="Mumbai"/>
    <x v="2"/>
    <s v="Sales_18"/>
    <s v="WhatsApp"/>
    <x v="0"/>
    <x v="1"/>
    <x v="7"/>
    <n v="4"/>
    <n v="29340"/>
    <n v="117360"/>
    <n v="146251"/>
    <s v="LEAD1733"/>
    <n v="2026"/>
  </r>
  <r>
    <s v="2026-06-15"/>
    <x v="5"/>
    <s v="ORD0166"/>
    <x v="2"/>
    <s v="West Bengal"/>
    <s v="Mumbai"/>
    <x v="3"/>
    <s v="Sales_20"/>
    <s v="Amazon"/>
    <x v="1"/>
    <x v="1"/>
    <x v="6"/>
    <n v="7"/>
    <n v="49783"/>
    <n v="348481"/>
    <n v="59287"/>
    <s v="LEAD2927"/>
    <n v="2026"/>
  </r>
  <r>
    <s v="2026-06-16"/>
    <x v="5"/>
    <s v="ORD0167"/>
    <x v="2"/>
    <s v="Maharashtra"/>
    <s v="Ahmedabad"/>
    <x v="3"/>
    <s v="Sales_17"/>
    <s v="WhatsApp"/>
    <x v="0"/>
    <x v="2"/>
    <x v="4"/>
    <n v="6"/>
    <n v="14930"/>
    <n v="89580"/>
    <n v="70137"/>
    <s v="LEAD4997"/>
    <n v="2026"/>
  </r>
  <r>
    <s v="2026-06-17"/>
    <x v="5"/>
    <s v="ORD0168"/>
    <x v="3"/>
    <s v="Gujarat"/>
    <s v="Mumbai"/>
    <x v="0"/>
    <s v="Sales_23"/>
    <s v="Amazon"/>
    <x v="2"/>
    <x v="1"/>
    <x v="3"/>
    <n v="7"/>
    <n v="6274"/>
    <n v="43918"/>
    <n v="110542"/>
    <s v="LEAD2395"/>
    <n v="2026"/>
  </r>
  <r>
    <s v="2026-06-18"/>
    <x v="5"/>
    <s v="ORD0169"/>
    <x v="1"/>
    <s v="Gujarat"/>
    <s v="Ahmedabad"/>
    <x v="1"/>
    <s v="Sales_10"/>
    <s v="WhatsApp"/>
    <x v="2"/>
    <x v="1"/>
    <x v="7"/>
    <n v="3"/>
    <n v="10814"/>
    <n v="32442"/>
    <n v="104276"/>
    <s v="LEAD1307"/>
    <n v="2026"/>
  </r>
  <r>
    <s v="2026-06-19"/>
    <x v="5"/>
    <s v="ORD0170"/>
    <x v="0"/>
    <s v="Karnataka"/>
    <s v="Mumbai"/>
    <x v="2"/>
    <s v="Sales_22"/>
    <s v="Retail Store"/>
    <x v="2"/>
    <x v="2"/>
    <x v="0"/>
    <n v="1"/>
    <n v="45747"/>
    <n v="45747"/>
    <n v="31959"/>
    <s v="LEAD1775"/>
    <n v="2026"/>
  </r>
  <r>
    <s v="2026-06-20"/>
    <x v="5"/>
    <s v="ORD0171"/>
    <x v="3"/>
    <s v="Maharashtra"/>
    <s v="Bangalore"/>
    <x v="2"/>
    <s v="Sales_7"/>
    <s v="Amazon"/>
    <x v="1"/>
    <x v="1"/>
    <x v="4"/>
    <n v="8"/>
    <n v="46475"/>
    <n v="371800"/>
    <n v="118773"/>
    <s v="LEAD1800"/>
    <n v="2026"/>
  </r>
  <r>
    <s v="2026-06-21"/>
    <x v="5"/>
    <s v="ORD0172"/>
    <x v="1"/>
    <s v="Karnataka"/>
    <s v="Bangalore"/>
    <x v="2"/>
    <s v="Sales_24"/>
    <s v="Amazon"/>
    <x v="1"/>
    <x v="3"/>
    <x v="7"/>
    <n v="1"/>
    <n v="23324"/>
    <n v="23324"/>
    <n v="45545"/>
    <s v="LEAD1476"/>
    <n v="2026"/>
  </r>
  <r>
    <s v="2026-06-22"/>
    <x v="5"/>
    <s v="ORD0173"/>
    <x v="2"/>
    <s v="Delhi"/>
    <s v="Bangalore"/>
    <x v="5"/>
    <s v="Sales_23"/>
    <s v="Retail Store"/>
    <x v="1"/>
    <x v="2"/>
    <x v="4"/>
    <n v="10"/>
    <n v="44126"/>
    <n v="441260"/>
    <n v="80808"/>
    <s v="LEAD2941"/>
    <n v="2026"/>
  </r>
  <r>
    <s v="2026-06-23"/>
    <x v="5"/>
    <s v="ORD0174"/>
    <x v="3"/>
    <s v="Delhi"/>
    <s v="Kolkata"/>
    <x v="1"/>
    <s v="Sales_21"/>
    <s v="Website"/>
    <x v="2"/>
    <x v="0"/>
    <x v="7"/>
    <n v="8"/>
    <n v="43771"/>
    <n v="350168"/>
    <n v="143900"/>
    <s v="LEAD1742"/>
    <n v="2026"/>
  </r>
  <r>
    <s v="2026-06-24"/>
    <x v="5"/>
    <s v="ORD0175"/>
    <x v="1"/>
    <s v="West Bengal"/>
    <s v="Ahmedabad"/>
    <x v="5"/>
    <s v="Sales_19"/>
    <s v="WhatsApp"/>
    <x v="1"/>
    <x v="1"/>
    <x v="7"/>
    <n v="5"/>
    <n v="10180"/>
    <n v="50900"/>
    <n v="25560"/>
    <s v="LEAD3292"/>
    <n v="2026"/>
  </r>
  <r>
    <s v="2026-06-25"/>
    <x v="5"/>
    <s v="ORD0176"/>
    <x v="1"/>
    <s v="Maharashtra"/>
    <s v="Kolkata"/>
    <x v="7"/>
    <s v="Sales_16"/>
    <s v="WhatsApp"/>
    <x v="0"/>
    <x v="1"/>
    <x v="1"/>
    <n v="9"/>
    <n v="45109"/>
    <n v="405981"/>
    <n v="107532"/>
    <s v="LEAD1816"/>
    <n v="2026"/>
  </r>
  <r>
    <s v="2026-06-26"/>
    <x v="5"/>
    <s v="ORD0177"/>
    <x v="3"/>
    <s v="Delhi"/>
    <s v="Delhi"/>
    <x v="6"/>
    <s v="Sales_8"/>
    <s v="Retail Store"/>
    <x v="2"/>
    <x v="2"/>
    <x v="5"/>
    <n v="1"/>
    <n v="13243"/>
    <n v="13243"/>
    <n v="69506"/>
    <s v="LEAD2954"/>
    <n v="2026"/>
  </r>
  <r>
    <s v="2026-06-27"/>
    <x v="5"/>
    <s v="ORD0178"/>
    <x v="3"/>
    <s v="Delhi"/>
    <s v="Chennai"/>
    <x v="2"/>
    <s v="Sales_29"/>
    <s v="Website"/>
    <x v="0"/>
    <x v="0"/>
    <x v="2"/>
    <n v="4"/>
    <n v="15551"/>
    <n v="62204"/>
    <n v="89501"/>
    <s v="LEAD3347"/>
    <n v="2026"/>
  </r>
  <r>
    <s v="2026-06-28"/>
    <x v="5"/>
    <s v="ORD0179"/>
    <x v="0"/>
    <s v="Karnataka"/>
    <s v="Kolkata"/>
    <x v="0"/>
    <s v="Sales_10"/>
    <s v="Retail Store"/>
    <x v="1"/>
    <x v="2"/>
    <x v="0"/>
    <n v="2"/>
    <n v="40242"/>
    <n v="80484"/>
    <n v="95764"/>
    <s v="LEAD4719"/>
    <n v="2026"/>
  </r>
  <r>
    <s v="2026-06-29"/>
    <x v="5"/>
    <s v="ORD0180"/>
    <x v="3"/>
    <s v="Tamil Nadu"/>
    <s v="Bangalore"/>
    <x v="7"/>
    <s v="Sales_11"/>
    <s v="Amazon"/>
    <x v="1"/>
    <x v="3"/>
    <x v="1"/>
    <n v="6"/>
    <n v="23605"/>
    <n v="141630"/>
    <n v="142568"/>
    <s v="LEAD1417"/>
    <n v="2026"/>
  </r>
  <r>
    <s v="2026-06-30"/>
    <x v="5"/>
    <s v="ORD0181"/>
    <x v="2"/>
    <s v="Karnataka"/>
    <s v="Chennai"/>
    <x v="5"/>
    <s v="Sales_18"/>
    <s v="Retail Store"/>
    <x v="2"/>
    <x v="0"/>
    <x v="1"/>
    <n v="2"/>
    <n v="46553"/>
    <n v="93106"/>
    <n v="26864"/>
    <s v="LEAD1495"/>
    <n v="2026"/>
  </r>
  <r>
    <s v="2026-07-01"/>
    <x v="6"/>
    <s v="ORD0182"/>
    <x v="1"/>
    <s v="Maharashtra"/>
    <s v="Kolkata"/>
    <x v="1"/>
    <s v="Sales_22"/>
    <s v="Website"/>
    <x v="1"/>
    <x v="2"/>
    <x v="0"/>
    <n v="4"/>
    <n v="42981"/>
    <n v="171924"/>
    <n v="110717"/>
    <s v="LEAD4171"/>
    <n v="2026"/>
  </r>
  <r>
    <s v="2026-07-02"/>
    <x v="6"/>
    <s v="ORD0183"/>
    <x v="2"/>
    <s v="West Bengal"/>
    <s v="Bangalore"/>
    <x v="0"/>
    <s v="Sales_16"/>
    <s v="Retail Store"/>
    <x v="2"/>
    <x v="1"/>
    <x v="0"/>
    <n v="9"/>
    <n v="34495"/>
    <n v="310455"/>
    <n v="66320"/>
    <s v="LEAD3722"/>
    <n v="2026"/>
  </r>
  <r>
    <s v="2026-07-03"/>
    <x v="6"/>
    <s v="ORD0184"/>
    <x v="3"/>
    <s v="Karnataka"/>
    <s v="Delhi"/>
    <x v="0"/>
    <s v="Sales_16"/>
    <s v="Website"/>
    <x v="1"/>
    <x v="2"/>
    <x v="5"/>
    <n v="9"/>
    <n v="9473"/>
    <n v="85257"/>
    <n v="149112"/>
    <s v="LEAD3853"/>
    <n v="2026"/>
  </r>
  <r>
    <s v="2026-07-04"/>
    <x v="6"/>
    <s v="ORD0185"/>
    <x v="0"/>
    <s v="Tamil Nadu"/>
    <s v="Delhi"/>
    <x v="6"/>
    <s v="Sales_9"/>
    <s v="Retail Store"/>
    <x v="2"/>
    <x v="0"/>
    <x v="0"/>
    <n v="9"/>
    <n v="6454"/>
    <n v="58086"/>
    <n v="56763"/>
    <s v="LEAD3655"/>
    <n v="2026"/>
  </r>
  <r>
    <s v="2026-07-05"/>
    <x v="6"/>
    <s v="ORD0186"/>
    <x v="3"/>
    <s v="Gujarat"/>
    <s v="Chennai"/>
    <x v="7"/>
    <s v="Sales_23"/>
    <s v="Retail Store"/>
    <x v="2"/>
    <x v="2"/>
    <x v="2"/>
    <n v="5"/>
    <n v="20059"/>
    <n v="100295"/>
    <n v="100398"/>
    <s v="LEAD1904"/>
    <n v="2026"/>
  </r>
  <r>
    <s v="2026-07-06"/>
    <x v="6"/>
    <s v="ORD0187"/>
    <x v="0"/>
    <s v="Delhi"/>
    <s v="Bangalore"/>
    <x v="7"/>
    <s v="Sales_22"/>
    <s v="Retail Store"/>
    <x v="1"/>
    <x v="0"/>
    <x v="2"/>
    <n v="1"/>
    <n v="7747"/>
    <n v="7747"/>
    <n v="99991"/>
    <s v="LEAD3434"/>
    <n v="2026"/>
  </r>
  <r>
    <s v="2026-07-07"/>
    <x v="6"/>
    <s v="ORD0188"/>
    <x v="0"/>
    <s v="West Bengal"/>
    <s v="Ahmedabad"/>
    <x v="4"/>
    <s v="Sales_6"/>
    <s v="Amazon"/>
    <x v="0"/>
    <x v="0"/>
    <x v="7"/>
    <n v="6"/>
    <n v="29922"/>
    <n v="179532"/>
    <n v="93729"/>
    <s v="LEAD1492"/>
    <n v="2026"/>
  </r>
  <r>
    <s v="2026-07-08"/>
    <x v="6"/>
    <s v="ORD0189"/>
    <x v="0"/>
    <s v="Delhi"/>
    <s v="Chennai"/>
    <x v="0"/>
    <s v="Sales_20"/>
    <s v="Amazon"/>
    <x v="0"/>
    <x v="2"/>
    <x v="1"/>
    <n v="4"/>
    <n v="17409"/>
    <n v="69636"/>
    <n v="90051"/>
    <s v="LEAD3781"/>
    <n v="2026"/>
  </r>
  <r>
    <s v="2026-07-09"/>
    <x v="6"/>
    <s v="ORD0190"/>
    <x v="1"/>
    <s v="Karnataka"/>
    <s v="Mumbai"/>
    <x v="6"/>
    <s v="Sales_8"/>
    <s v="Amazon"/>
    <x v="0"/>
    <x v="2"/>
    <x v="4"/>
    <n v="3"/>
    <n v="32562"/>
    <n v="97686"/>
    <n v="85238"/>
    <s v="LEAD4781"/>
    <n v="2026"/>
  </r>
  <r>
    <s v="2026-07-10"/>
    <x v="6"/>
    <s v="ORD0191"/>
    <x v="3"/>
    <s v="West Bengal"/>
    <s v="Kolkata"/>
    <x v="5"/>
    <s v="Sales_17"/>
    <s v="Retail Store"/>
    <x v="2"/>
    <x v="3"/>
    <x v="4"/>
    <n v="10"/>
    <n v="1443"/>
    <n v="14430"/>
    <n v="82011"/>
    <s v="LEAD3162"/>
    <n v="2026"/>
  </r>
  <r>
    <s v="2026-07-11"/>
    <x v="6"/>
    <s v="ORD0192"/>
    <x v="3"/>
    <s v="Gujarat"/>
    <s v="Chennai"/>
    <x v="0"/>
    <s v="Sales_13"/>
    <s v="WhatsApp"/>
    <x v="0"/>
    <x v="1"/>
    <x v="4"/>
    <n v="5"/>
    <n v="28083"/>
    <n v="140415"/>
    <n v="84281"/>
    <s v="LEAD2703"/>
    <n v="2026"/>
  </r>
  <r>
    <s v="2026-07-12"/>
    <x v="6"/>
    <s v="ORD0193"/>
    <x v="3"/>
    <s v="West Bengal"/>
    <s v="Delhi"/>
    <x v="2"/>
    <s v="Sales_21"/>
    <s v="WhatsApp"/>
    <x v="1"/>
    <x v="3"/>
    <x v="5"/>
    <n v="3"/>
    <n v="15844"/>
    <n v="47532"/>
    <n v="117494"/>
    <s v="LEAD2823"/>
    <n v="2026"/>
  </r>
  <r>
    <s v="2026-07-13"/>
    <x v="6"/>
    <s v="ORD0194"/>
    <x v="3"/>
    <s v="Maharashtra"/>
    <s v="Kolkata"/>
    <x v="5"/>
    <s v="Sales_10"/>
    <s v="Amazon"/>
    <x v="2"/>
    <x v="2"/>
    <x v="4"/>
    <n v="10"/>
    <n v="28281"/>
    <n v="282810"/>
    <n v="123950"/>
    <s v="LEAD4231"/>
    <n v="2026"/>
  </r>
  <r>
    <s v="2026-07-14"/>
    <x v="6"/>
    <s v="ORD0195"/>
    <x v="0"/>
    <s v="Gujarat"/>
    <s v="Bangalore"/>
    <x v="3"/>
    <s v="Sales_28"/>
    <s v="Retail Store"/>
    <x v="0"/>
    <x v="2"/>
    <x v="0"/>
    <n v="1"/>
    <n v="48743"/>
    <n v="48743"/>
    <n v="123668"/>
    <s v="LEAD4892"/>
    <n v="2026"/>
  </r>
  <r>
    <s v="2026-07-15"/>
    <x v="6"/>
    <s v="ORD0196"/>
    <x v="2"/>
    <s v="Delhi"/>
    <s v="Ahmedabad"/>
    <x v="0"/>
    <s v="Sales_1"/>
    <s v="Website"/>
    <x v="0"/>
    <x v="1"/>
    <x v="5"/>
    <n v="3"/>
    <n v="42234"/>
    <n v="126702"/>
    <n v="112054"/>
    <s v="LEAD4207"/>
    <n v="2026"/>
  </r>
  <r>
    <s v="2026-07-16"/>
    <x v="6"/>
    <s v="ORD0197"/>
    <x v="0"/>
    <s v="Gujarat"/>
    <s v="Kolkata"/>
    <x v="6"/>
    <s v="Sales_22"/>
    <s v="Retail Store"/>
    <x v="0"/>
    <x v="3"/>
    <x v="0"/>
    <n v="6"/>
    <n v="4661"/>
    <n v="27966"/>
    <n v="33142"/>
    <s v="LEAD2927"/>
    <n v="2026"/>
  </r>
  <r>
    <s v="2026-07-17"/>
    <x v="6"/>
    <s v="ORD0198"/>
    <x v="1"/>
    <s v="Maharashtra"/>
    <s v="Chennai"/>
    <x v="0"/>
    <s v="Sales_19"/>
    <s v="WhatsApp"/>
    <x v="2"/>
    <x v="0"/>
    <x v="3"/>
    <n v="7"/>
    <n v="25450"/>
    <n v="178150"/>
    <n v="96926"/>
    <s v="LEAD2936"/>
    <n v="2026"/>
  </r>
  <r>
    <s v="2026-07-18"/>
    <x v="6"/>
    <s v="ORD0199"/>
    <x v="3"/>
    <s v="Maharashtra"/>
    <s v="Bangalore"/>
    <x v="6"/>
    <s v="Sales_7"/>
    <s v="Amazon"/>
    <x v="0"/>
    <x v="2"/>
    <x v="3"/>
    <n v="6"/>
    <n v="6486"/>
    <n v="38916"/>
    <n v="52974"/>
    <s v="LEAD2548"/>
    <n v="2026"/>
  </r>
  <r>
    <s v="2026-07-19"/>
    <x v="6"/>
    <s v="ORD0200"/>
    <x v="1"/>
    <s v="Maharashtra"/>
    <s v="Delhi"/>
    <x v="6"/>
    <s v="Sales_30"/>
    <s v="Amazon"/>
    <x v="1"/>
    <x v="2"/>
    <x v="3"/>
    <n v="5"/>
    <n v="46484"/>
    <n v="232420"/>
    <n v="45872"/>
    <s v="LEAD4568"/>
    <n v="2026"/>
  </r>
  <r>
    <s v="2026-07-20"/>
    <x v="6"/>
    <s v="ORD0201"/>
    <x v="0"/>
    <s v="West Bengal"/>
    <s v="Kolkata"/>
    <x v="4"/>
    <s v="Sales_16"/>
    <s v="Website"/>
    <x v="2"/>
    <x v="2"/>
    <x v="3"/>
    <n v="3"/>
    <n v="7798"/>
    <n v="23394"/>
    <n v="19489"/>
    <s v="LEAD3416"/>
    <n v="2026"/>
  </r>
  <r>
    <s v="2026-07-21"/>
    <x v="6"/>
    <s v="ORD0202"/>
    <x v="0"/>
    <s v="Tamil Nadu"/>
    <s v="Ahmedabad"/>
    <x v="3"/>
    <s v="Sales_28"/>
    <s v="Amazon"/>
    <x v="1"/>
    <x v="1"/>
    <x v="0"/>
    <n v="5"/>
    <n v="19644"/>
    <n v="98220"/>
    <n v="142011"/>
    <s v="LEAD1909"/>
    <n v="2026"/>
  </r>
  <r>
    <s v="2026-07-22"/>
    <x v="6"/>
    <s v="ORD0203"/>
    <x v="0"/>
    <s v="Maharashtra"/>
    <s v="Kolkata"/>
    <x v="5"/>
    <s v="Sales_12"/>
    <s v="Amazon"/>
    <x v="1"/>
    <x v="3"/>
    <x v="0"/>
    <n v="9"/>
    <n v="13126"/>
    <n v="118134"/>
    <n v="43628"/>
    <s v="LEAD4409"/>
    <n v="2026"/>
  </r>
  <r>
    <s v="2026-07-23"/>
    <x v="6"/>
    <s v="ORD0204"/>
    <x v="0"/>
    <s v="Delhi"/>
    <s v="Kolkata"/>
    <x v="7"/>
    <s v="Sales_24"/>
    <s v="Website"/>
    <x v="2"/>
    <x v="1"/>
    <x v="7"/>
    <n v="9"/>
    <n v="3880"/>
    <n v="34920"/>
    <n v="17579"/>
    <s v="LEAD3896"/>
    <n v="2026"/>
  </r>
  <r>
    <s v="2026-07-24"/>
    <x v="6"/>
    <s v="ORD0205"/>
    <x v="1"/>
    <s v="Tamil Nadu"/>
    <s v="Kolkata"/>
    <x v="1"/>
    <s v="Sales_16"/>
    <s v="Amazon"/>
    <x v="0"/>
    <x v="2"/>
    <x v="5"/>
    <n v="6"/>
    <n v="1254"/>
    <n v="7524"/>
    <n v="56600"/>
    <s v="LEAD3084"/>
    <n v="2026"/>
  </r>
  <r>
    <s v="2026-07-25"/>
    <x v="6"/>
    <s v="ORD0206"/>
    <x v="1"/>
    <s v="Gujarat"/>
    <s v="Kolkata"/>
    <x v="3"/>
    <s v="Sales_14"/>
    <s v="Amazon"/>
    <x v="0"/>
    <x v="2"/>
    <x v="4"/>
    <n v="9"/>
    <n v="14187"/>
    <n v="127683"/>
    <n v="109929"/>
    <s v="LEAD4413"/>
    <n v="2026"/>
  </r>
  <r>
    <s v="2026-07-26"/>
    <x v="6"/>
    <s v="ORD0207"/>
    <x v="0"/>
    <s v="Tamil Nadu"/>
    <s v="Bangalore"/>
    <x v="2"/>
    <s v="Sales_29"/>
    <s v="Website"/>
    <x v="2"/>
    <x v="3"/>
    <x v="0"/>
    <n v="4"/>
    <n v="45603"/>
    <n v="182412"/>
    <n v="28279"/>
    <s v="LEAD2962"/>
    <n v="2026"/>
  </r>
  <r>
    <s v="2026-07-27"/>
    <x v="6"/>
    <s v="ORD0208"/>
    <x v="0"/>
    <s v="Karnataka"/>
    <s v="Mumbai"/>
    <x v="6"/>
    <s v="Sales_21"/>
    <s v="Amazon"/>
    <x v="1"/>
    <x v="3"/>
    <x v="5"/>
    <n v="5"/>
    <n v="42546"/>
    <n v="212730"/>
    <n v="89185"/>
    <s v="LEAD1857"/>
    <n v="2026"/>
  </r>
  <r>
    <s v="2026-07-28"/>
    <x v="6"/>
    <s v="ORD0209"/>
    <x v="2"/>
    <s v="Maharashtra"/>
    <s v="Bangalore"/>
    <x v="0"/>
    <s v="Sales_27"/>
    <s v="Website"/>
    <x v="2"/>
    <x v="3"/>
    <x v="3"/>
    <n v="9"/>
    <n v="27903"/>
    <n v="251127"/>
    <n v="104583"/>
    <s v="LEAD4836"/>
    <n v="2026"/>
  </r>
  <r>
    <s v="2026-07-29"/>
    <x v="6"/>
    <s v="ORD0210"/>
    <x v="2"/>
    <s v="Maharashtra"/>
    <s v="Delhi"/>
    <x v="0"/>
    <s v="Sales_25"/>
    <s v="WhatsApp"/>
    <x v="1"/>
    <x v="3"/>
    <x v="7"/>
    <n v="8"/>
    <n v="20445"/>
    <n v="163560"/>
    <n v="109589"/>
    <s v="LEAD3640"/>
    <n v="2026"/>
  </r>
  <r>
    <s v="2026-07-30"/>
    <x v="6"/>
    <s v="ORD0211"/>
    <x v="0"/>
    <s v="West Bengal"/>
    <s v="Delhi"/>
    <x v="6"/>
    <s v="Sales_24"/>
    <s v="WhatsApp"/>
    <x v="1"/>
    <x v="1"/>
    <x v="2"/>
    <n v="6"/>
    <n v="27859"/>
    <n v="167154"/>
    <n v="113059"/>
    <s v="LEAD3839"/>
    <n v="2026"/>
  </r>
  <r>
    <s v="2026-07-31"/>
    <x v="6"/>
    <s v="ORD0212"/>
    <x v="1"/>
    <s v="Gujarat"/>
    <s v="Chennai"/>
    <x v="7"/>
    <s v="Sales_2"/>
    <s v="Website"/>
    <x v="2"/>
    <x v="1"/>
    <x v="3"/>
    <n v="7"/>
    <n v="45703"/>
    <n v="319921"/>
    <n v="61154"/>
    <s v="LEAD3628"/>
    <n v="2026"/>
  </r>
  <r>
    <s v="2026-08-01"/>
    <x v="7"/>
    <s v="ORD0213"/>
    <x v="1"/>
    <s v="Maharashtra"/>
    <s v="Delhi"/>
    <x v="7"/>
    <s v="Sales_2"/>
    <s v="Website"/>
    <x v="1"/>
    <x v="0"/>
    <x v="7"/>
    <n v="6"/>
    <n v="10407"/>
    <n v="62442"/>
    <n v="115567"/>
    <s v="LEAD2806"/>
    <n v="2026"/>
  </r>
  <r>
    <s v="2026-08-02"/>
    <x v="7"/>
    <s v="ORD0214"/>
    <x v="2"/>
    <s v="Maharashtra"/>
    <s v="Bangalore"/>
    <x v="6"/>
    <s v="Sales_25"/>
    <s v="Amazon"/>
    <x v="2"/>
    <x v="3"/>
    <x v="7"/>
    <n v="5"/>
    <n v="16894"/>
    <n v="84470"/>
    <n v="43908"/>
    <s v="LEAD2919"/>
    <n v="2026"/>
  </r>
  <r>
    <s v="2026-08-03"/>
    <x v="7"/>
    <s v="ORD0215"/>
    <x v="2"/>
    <s v="Gujarat"/>
    <s v="Bangalore"/>
    <x v="4"/>
    <s v="Sales_23"/>
    <s v="Amazon"/>
    <x v="2"/>
    <x v="0"/>
    <x v="0"/>
    <n v="10"/>
    <n v="31287"/>
    <n v="312870"/>
    <n v="21201"/>
    <s v="LEAD2437"/>
    <n v="2026"/>
  </r>
  <r>
    <s v="2026-08-04"/>
    <x v="7"/>
    <s v="ORD0216"/>
    <x v="1"/>
    <s v="Delhi"/>
    <s v="Kolkata"/>
    <x v="0"/>
    <s v="Sales_22"/>
    <s v="Website"/>
    <x v="1"/>
    <x v="1"/>
    <x v="5"/>
    <n v="8"/>
    <n v="29610"/>
    <n v="236880"/>
    <n v="11834"/>
    <s v="LEAD1202"/>
    <n v="2026"/>
  </r>
  <r>
    <s v="2026-08-05"/>
    <x v="7"/>
    <s v="ORD0217"/>
    <x v="1"/>
    <s v="Delhi"/>
    <s v="Mumbai"/>
    <x v="4"/>
    <s v="Sales_1"/>
    <s v="Website"/>
    <x v="0"/>
    <x v="3"/>
    <x v="3"/>
    <n v="6"/>
    <n v="19178"/>
    <n v="115068"/>
    <n v="106713"/>
    <s v="LEAD4836"/>
    <n v="2026"/>
  </r>
  <r>
    <s v="2026-08-06"/>
    <x v="7"/>
    <s v="ORD0218"/>
    <x v="2"/>
    <s v="West Bengal"/>
    <s v="Bangalore"/>
    <x v="2"/>
    <s v="Sales_29"/>
    <s v="WhatsApp"/>
    <x v="0"/>
    <x v="1"/>
    <x v="6"/>
    <n v="7"/>
    <n v="15901"/>
    <n v="111307"/>
    <n v="99782"/>
    <s v="LEAD4609"/>
    <n v="2026"/>
  </r>
  <r>
    <s v="2026-08-07"/>
    <x v="7"/>
    <s v="ORD0219"/>
    <x v="1"/>
    <s v="West Bengal"/>
    <s v="Kolkata"/>
    <x v="6"/>
    <s v="Sales_20"/>
    <s v="Amazon"/>
    <x v="0"/>
    <x v="1"/>
    <x v="5"/>
    <n v="3"/>
    <n v="4031"/>
    <n v="12093"/>
    <n v="144694"/>
    <s v="LEAD2965"/>
    <n v="2026"/>
  </r>
  <r>
    <s v="2026-08-08"/>
    <x v="7"/>
    <s v="ORD0220"/>
    <x v="2"/>
    <s v="Tamil Nadu"/>
    <s v="Kolkata"/>
    <x v="2"/>
    <s v="Sales_29"/>
    <s v="Website"/>
    <x v="2"/>
    <x v="2"/>
    <x v="6"/>
    <n v="6"/>
    <n v="24776"/>
    <n v="148656"/>
    <n v="138980"/>
    <s v="LEAD4523"/>
    <n v="2026"/>
  </r>
  <r>
    <s v="2026-08-09"/>
    <x v="7"/>
    <s v="ORD0221"/>
    <x v="3"/>
    <s v="Maharashtra"/>
    <s v="Ahmedabad"/>
    <x v="0"/>
    <s v="Sales_15"/>
    <s v="WhatsApp"/>
    <x v="0"/>
    <x v="1"/>
    <x v="5"/>
    <n v="5"/>
    <n v="22432"/>
    <n v="112160"/>
    <n v="53159"/>
    <s v="LEAD3563"/>
    <n v="2026"/>
  </r>
  <r>
    <s v="2026-08-10"/>
    <x v="7"/>
    <s v="ORD0222"/>
    <x v="0"/>
    <s v="Maharashtra"/>
    <s v="Kolkata"/>
    <x v="3"/>
    <s v="Sales_27"/>
    <s v="Website"/>
    <x v="1"/>
    <x v="1"/>
    <x v="0"/>
    <n v="3"/>
    <n v="45279"/>
    <n v="135837"/>
    <n v="106199"/>
    <s v="LEAD2331"/>
    <n v="2026"/>
  </r>
  <r>
    <s v="2026-08-11"/>
    <x v="7"/>
    <s v="ORD0223"/>
    <x v="3"/>
    <s v="Tamil Nadu"/>
    <s v="Chennai"/>
    <x v="7"/>
    <s v="Sales_1"/>
    <s v="Retail Store"/>
    <x v="1"/>
    <x v="1"/>
    <x v="5"/>
    <n v="4"/>
    <n v="17113"/>
    <n v="68452"/>
    <n v="41109"/>
    <s v="LEAD1099"/>
    <n v="2026"/>
  </r>
  <r>
    <s v="2026-08-12"/>
    <x v="7"/>
    <s v="ORD0224"/>
    <x v="0"/>
    <s v="Tamil Nadu"/>
    <s v="Ahmedabad"/>
    <x v="4"/>
    <s v="Sales_16"/>
    <s v="Website"/>
    <x v="2"/>
    <x v="3"/>
    <x v="1"/>
    <n v="4"/>
    <n v="15075"/>
    <n v="60300"/>
    <n v="92857"/>
    <s v="LEAD3692"/>
    <n v="2026"/>
  </r>
  <r>
    <s v="2026-08-13"/>
    <x v="7"/>
    <s v="ORD0225"/>
    <x v="1"/>
    <s v="Maharashtra"/>
    <s v="Chennai"/>
    <x v="4"/>
    <s v="Sales_12"/>
    <s v="WhatsApp"/>
    <x v="0"/>
    <x v="2"/>
    <x v="3"/>
    <n v="1"/>
    <n v="41691"/>
    <n v="41691"/>
    <n v="122983"/>
    <s v="LEAD2114"/>
    <n v="2026"/>
  </r>
  <r>
    <s v="2026-08-14"/>
    <x v="7"/>
    <s v="ORD0226"/>
    <x v="2"/>
    <s v="Gujarat"/>
    <s v="Delhi"/>
    <x v="6"/>
    <s v="Sales_2"/>
    <s v="Amazon"/>
    <x v="0"/>
    <x v="0"/>
    <x v="2"/>
    <n v="5"/>
    <n v="31197"/>
    <n v="155985"/>
    <n v="13054"/>
    <s v="LEAD1873"/>
    <n v="2026"/>
  </r>
  <r>
    <s v="2026-08-15"/>
    <x v="7"/>
    <s v="ORD0227"/>
    <x v="3"/>
    <s v="Tamil Nadu"/>
    <s v="Chennai"/>
    <x v="1"/>
    <s v="Sales_6"/>
    <s v="Amazon"/>
    <x v="0"/>
    <x v="3"/>
    <x v="2"/>
    <n v="7"/>
    <n v="42903"/>
    <n v="300321"/>
    <n v="13162"/>
    <s v="LEAD4705"/>
    <n v="2026"/>
  </r>
  <r>
    <s v="2026-08-16"/>
    <x v="7"/>
    <s v="ORD0228"/>
    <x v="3"/>
    <s v="Delhi"/>
    <s v="Chennai"/>
    <x v="2"/>
    <s v="Sales_30"/>
    <s v="Retail Store"/>
    <x v="1"/>
    <x v="1"/>
    <x v="1"/>
    <n v="9"/>
    <n v="2970"/>
    <n v="26730"/>
    <n v="90981"/>
    <s v="LEAD2629"/>
    <n v="2026"/>
  </r>
  <r>
    <s v="2026-08-17"/>
    <x v="7"/>
    <s v="ORD0229"/>
    <x v="1"/>
    <s v="West Bengal"/>
    <s v="Delhi"/>
    <x v="4"/>
    <s v="Sales_8"/>
    <s v="Retail Store"/>
    <x v="0"/>
    <x v="2"/>
    <x v="4"/>
    <n v="4"/>
    <n v="16947"/>
    <n v="67788"/>
    <n v="131552"/>
    <s v="LEAD1783"/>
    <n v="2026"/>
  </r>
  <r>
    <s v="2026-08-18"/>
    <x v="7"/>
    <s v="ORD0230"/>
    <x v="2"/>
    <s v="Delhi"/>
    <s v="Ahmedabad"/>
    <x v="4"/>
    <s v="Sales_13"/>
    <s v="Amazon"/>
    <x v="1"/>
    <x v="2"/>
    <x v="7"/>
    <n v="2"/>
    <n v="44890"/>
    <n v="89780"/>
    <n v="88134"/>
    <s v="LEAD3607"/>
    <n v="2026"/>
  </r>
  <r>
    <s v="2026-08-19"/>
    <x v="7"/>
    <s v="ORD0231"/>
    <x v="1"/>
    <s v="Delhi"/>
    <s v="Delhi"/>
    <x v="0"/>
    <s v="Sales_7"/>
    <s v="Retail Store"/>
    <x v="2"/>
    <x v="0"/>
    <x v="6"/>
    <n v="1"/>
    <n v="20193"/>
    <n v="20193"/>
    <n v="131291"/>
    <s v="LEAD1807"/>
    <n v="2026"/>
  </r>
  <r>
    <s v="2026-08-20"/>
    <x v="7"/>
    <s v="ORD0232"/>
    <x v="1"/>
    <s v="Delhi"/>
    <s v="Delhi"/>
    <x v="1"/>
    <s v="Sales_25"/>
    <s v="Amazon"/>
    <x v="0"/>
    <x v="1"/>
    <x v="3"/>
    <n v="2"/>
    <n v="4729"/>
    <n v="9458"/>
    <n v="139702"/>
    <s v="LEAD4480"/>
    <n v="2026"/>
  </r>
  <r>
    <s v="2026-08-21"/>
    <x v="7"/>
    <s v="ORD0233"/>
    <x v="1"/>
    <s v="West Bengal"/>
    <s v="Delhi"/>
    <x v="1"/>
    <s v="Sales_21"/>
    <s v="Amazon"/>
    <x v="1"/>
    <x v="2"/>
    <x v="0"/>
    <n v="5"/>
    <n v="22128"/>
    <n v="110640"/>
    <n v="148931"/>
    <s v="LEAD3572"/>
    <n v="2026"/>
  </r>
  <r>
    <s v="2026-08-22"/>
    <x v="7"/>
    <s v="ORD0234"/>
    <x v="0"/>
    <s v="Tamil Nadu"/>
    <s v="Delhi"/>
    <x v="7"/>
    <s v="Sales_5"/>
    <s v="Amazon"/>
    <x v="2"/>
    <x v="0"/>
    <x v="6"/>
    <n v="9"/>
    <n v="16919"/>
    <n v="152271"/>
    <n v="110746"/>
    <s v="LEAD2212"/>
    <n v="2026"/>
  </r>
  <r>
    <s v="2026-08-23"/>
    <x v="7"/>
    <s v="ORD0235"/>
    <x v="2"/>
    <s v="Gujarat"/>
    <s v="Ahmedabad"/>
    <x v="5"/>
    <s v="Sales_7"/>
    <s v="Website"/>
    <x v="0"/>
    <x v="0"/>
    <x v="4"/>
    <n v="2"/>
    <n v="1379"/>
    <n v="2758"/>
    <n v="75669"/>
    <s v="LEAD1300"/>
    <n v="2026"/>
  </r>
  <r>
    <s v="2026-08-24"/>
    <x v="7"/>
    <s v="ORD0236"/>
    <x v="1"/>
    <s v="Tamil Nadu"/>
    <s v="Bangalore"/>
    <x v="7"/>
    <s v="Sales_27"/>
    <s v="Amazon"/>
    <x v="0"/>
    <x v="3"/>
    <x v="2"/>
    <n v="4"/>
    <n v="36620"/>
    <n v="146480"/>
    <n v="104269"/>
    <s v="LEAD4864"/>
    <n v="2026"/>
  </r>
  <r>
    <s v="2026-08-25"/>
    <x v="7"/>
    <s v="ORD0237"/>
    <x v="1"/>
    <s v="Delhi"/>
    <s v="Ahmedabad"/>
    <x v="5"/>
    <s v="Sales_11"/>
    <s v="Amazon"/>
    <x v="1"/>
    <x v="1"/>
    <x v="1"/>
    <n v="9"/>
    <n v="49493"/>
    <n v="445437"/>
    <n v="38893"/>
    <s v="LEAD4233"/>
    <n v="2026"/>
  </r>
  <r>
    <s v="2026-08-26"/>
    <x v="7"/>
    <s v="ORD0238"/>
    <x v="0"/>
    <s v="Gujarat"/>
    <s v="Delhi"/>
    <x v="3"/>
    <s v="Sales_4"/>
    <s v="Website"/>
    <x v="1"/>
    <x v="2"/>
    <x v="5"/>
    <n v="8"/>
    <n v="33903"/>
    <n v="271224"/>
    <n v="81470"/>
    <s v="LEAD2229"/>
    <n v="2026"/>
  </r>
  <r>
    <s v="2026-08-27"/>
    <x v="7"/>
    <s v="ORD0239"/>
    <x v="2"/>
    <s v="Gujarat"/>
    <s v="Kolkata"/>
    <x v="7"/>
    <s v="Sales_14"/>
    <s v="Retail Store"/>
    <x v="0"/>
    <x v="1"/>
    <x v="4"/>
    <n v="10"/>
    <n v="4050"/>
    <n v="40500"/>
    <n v="70884"/>
    <s v="LEAD1236"/>
    <n v="2026"/>
  </r>
  <r>
    <s v="2026-08-28"/>
    <x v="7"/>
    <s v="ORD0240"/>
    <x v="1"/>
    <s v="Maharashtra"/>
    <s v="Chennai"/>
    <x v="1"/>
    <s v="Sales_6"/>
    <s v="Amazon"/>
    <x v="0"/>
    <x v="3"/>
    <x v="2"/>
    <n v="2"/>
    <n v="48997"/>
    <n v="97994"/>
    <n v="117477"/>
    <s v="LEAD2494"/>
    <n v="2026"/>
  </r>
  <r>
    <s v="2026-08-29"/>
    <x v="7"/>
    <s v="ORD0241"/>
    <x v="2"/>
    <s v="Maharashtra"/>
    <s v="Bangalore"/>
    <x v="1"/>
    <s v="Sales_29"/>
    <s v="Website"/>
    <x v="2"/>
    <x v="0"/>
    <x v="0"/>
    <n v="5"/>
    <n v="8563"/>
    <n v="42815"/>
    <n v="40967"/>
    <s v="LEAD2207"/>
    <n v="2026"/>
  </r>
  <r>
    <s v="2026-08-30"/>
    <x v="7"/>
    <s v="ORD0242"/>
    <x v="1"/>
    <s v="West Bengal"/>
    <s v="Mumbai"/>
    <x v="6"/>
    <s v="Sales_17"/>
    <s v="Amazon"/>
    <x v="1"/>
    <x v="0"/>
    <x v="4"/>
    <n v="3"/>
    <n v="19489"/>
    <n v="58467"/>
    <n v="122210"/>
    <s v="LEAD1111"/>
    <n v="2026"/>
  </r>
  <r>
    <s v="2026-08-31"/>
    <x v="7"/>
    <s v="ORD0243"/>
    <x v="0"/>
    <s v="Delhi"/>
    <s v="Bangalore"/>
    <x v="2"/>
    <s v="Sales_5"/>
    <s v="Website"/>
    <x v="0"/>
    <x v="0"/>
    <x v="6"/>
    <n v="6"/>
    <n v="9054"/>
    <n v="54324"/>
    <n v="61463"/>
    <s v="LEAD2716"/>
    <n v="2026"/>
  </r>
  <r>
    <s v="2026-09-01"/>
    <x v="8"/>
    <s v="ORD0244"/>
    <x v="0"/>
    <s v="Karnataka"/>
    <s v="Kolkata"/>
    <x v="2"/>
    <s v="Sales_2"/>
    <s v="Website"/>
    <x v="0"/>
    <x v="1"/>
    <x v="0"/>
    <n v="9"/>
    <n v="11321"/>
    <n v="101889"/>
    <n v="89872"/>
    <s v="LEAD1214"/>
    <n v="2026"/>
  </r>
  <r>
    <s v="2026-09-02"/>
    <x v="8"/>
    <s v="ORD0245"/>
    <x v="1"/>
    <s v="Delhi"/>
    <s v="Kolkata"/>
    <x v="4"/>
    <s v="Sales_30"/>
    <s v="WhatsApp"/>
    <x v="1"/>
    <x v="2"/>
    <x v="4"/>
    <n v="3"/>
    <n v="29255"/>
    <n v="87765"/>
    <n v="104635"/>
    <s v="LEAD3999"/>
    <n v="2026"/>
  </r>
  <r>
    <s v="2026-09-03"/>
    <x v="8"/>
    <s v="ORD0246"/>
    <x v="2"/>
    <s v="Karnataka"/>
    <s v="Mumbai"/>
    <x v="2"/>
    <s v="Sales_29"/>
    <s v="Amazon"/>
    <x v="1"/>
    <x v="1"/>
    <x v="5"/>
    <n v="7"/>
    <n v="23889"/>
    <n v="167223"/>
    <n v="81313"/>
    <s v="LEAD1792"/>
    <n v="2026"/>
  </r>
  <r>
    <s v="2026-09-04"/>
    <x v="8"/>
    <s v="ORD0247"/>
    <x v="2"/>
    <s v="West Bengal"/>
    <s v="Bangalore"/>
    <x v="3"/>
    <s v="Sales_4"/>
    <s v="Retail Store"/>
    <x v="2"/>
    <x v="2"/>
    <x v="4"/>
    <n v="9"/>
    <n v="10462"/>
    <n v="94158"/>
    <n v="39017"/>
    <s v="LEAD4030"/>
    <n v="2026"/>
  </r>
  <r>
    <s v="2026-09-05"/>
    <x v="8"/>
    <s v="ORD0248"/>
    <x v="1"/>
    <s v="Tamil Nadu"/>
    <s v="Ahmedabad"/>
    <x v="7"/>
    <s v="Sales_6"/>
    <s v="WhatsApp"/>
    <x v="2"/>
    <x v="2"/>
    <x v="2"/>
    <n v="8"/>
    <n v="13195"/>
    <n v="105560"/>
    <n v="146763"/>
    <s v="LEAD4615"/>
    <n v="2026"/>
  </r>
  <r>
    <s v="2026-09-06"/>
    <x v="8"/>
    <s v="ORD0249"/>
    <x v="0"/>
    <s v="Tamil Nadu"/>
    <s v="Chennai"/>
    <x v="0"/>
    <s v="Sales_4"/>
    <s v="WhatsApp"/>
    <x v="0"/>
    <x v="0"/>
    <x v="5"/>
    <n v="9"/>
    <n v="9970"/>
    <n v="89730"/>
    <n v="144941"/>
    <s v="LEAD3674"/>
    <n v="2026"/>
  </r>
  <r>
    <s v="2026-09-07"/>
    <x v="8"/>
    <s v="ORD0250"/>
    <x v="2"/>
    <s v="Delhi"/>
    <s v="Kolkata"/>
    <x v="0"/>
    <s v="Sales_17"/>
    <s v="WhatsApp"/>
    <x v="2"/>
    <x v="2"/>
    <x v="2"/>
    <n v="7"/>
    <n v="46616"/>
    <n v="326312"/>
    <n v="39821"/>
    <s v="LEAD3952"/>
    <n v="2026"/>
  </r>
  <r>
    <s v="2026-09-08"/>
    <x v="8"/>
    <s v="ORD0251"/>
    <x v="3"/>
    <s v="Delhi"/>
    <s v="Delhi"/>
    <x v="6"/>
    <s v="Sales_2"/>
    <s v="Website"/>
    <x v="2"/>
    <x v="0"/>
    <x v="1"/>
    <n v="2"/>
    <n v="17452"/>
    <n v="34904"/>
    <n v="96059"/>
    <s v="LEAD3260"/>
    <n v="2026"/>
  </r>
  <r>
    <s v="2026-09-09"/>
    <x v="8"/>
    <s v="ORD0252"/>
    <x v="3"/>
    <s v="West Bengal"/>
    <s v="Delhi"/>
    <x v="5"/>
    <s v="Sales_17"/>
    <s v="Website"/>
    <x v="1"/>
    <x v="2"/>
    <x v="1"/>
    <n v="4"/>
    <n v="10278"/>
    <n v="41112"/>
    <n v="147683"/>
    <s v="LEAD3800"/>
    <n v="2026"/>
  </r>
  <r>
    <s v="2026-09-10"/>
    <x v="8"/>
    <s v="ORD0253"/>
    <x v="3"/>
    <s v="Delhi"/>
    <s v="Chennai"/>
    <x v="6"/>
    <s v="Sales_25"/>
    <s v="Website"/>
    <x v="1"/>
    <x v="0"/>
    <x v="7"/>
    <n v="3"/>
    <n v="35087"/>
    <n v="105261"/>
    <n v="94278"/>
    <s v="LEAD2369"/>
    <n v="2026"/>
  </r>
  <r>
    <s v="2026-09-11"/>
    <x v="8"/>
    <s v="ORD0254"/>
    <x v="2"/>
    <s v="Gujarat"/>
    <s v="Mumbai"/>
    <x v="7"/>
    <s v="Sales_13"/>
    <s v="Amazon"/>
    <x v="2"/>
    <x v="0"/>
    <x v="4"/>
    <n v="8"/>
    <n v="42447"/>
    <n v="339576"/>
    <n v="11213"/>
    <s v="LEAD3801"/>
    <n v="2026"/>
  </r>
  <r>
    <s v="2026-09-12"/>
    <x v="8"/>
    <s v="ORD0255"/>
    <x v="1"/>
    <s v="Karnataka"/>
    <s v="Delhi"/>
    <x v="5"/>
    <s v="Sales_7"/>
    <s v="Retail Store"/>
    <x v="1"/>
    <x v="3"/>
    <x v="1"/>
    <n v="7"/>
    <n v="23177"/>
    <n v="162239"/>
    <n v="51380"/>
    <s v="LEAD1431"/>
    <n v="2026"/>
  </r>
  <r>
    <s v="2026-09-13"/>
    <x v="8"/>
    <s v="ORD0256"/>
    <x v="2"/>
    <s v="Delhi"/>
    <s v="Mumbai"/>
    <x v="2"/>
    <s v="Sales_2"/>
    <s v="Retail Store"/>
    <x v="2"/>
    <x v="0"/>
    <x v="3"/>
    <n v="6"/>
    <n v="12954"/>
    <n v="77724"/>
    <n v="58827"/>
    <s v="LEAD2340"/>
    <n v="2026"/>
  </r>
  <r>
    <s v="2026-09-14"/>
    <x v="8"/>
    <s v="ORD0257"/>
    <x v="1"/>
    <s v="West Bengal"/>
    <s v="Delhi"/>
    <x v="2"/>
    <s v="Sales_6"/>
    <s v="WhatsApp"/>
    <x v="0"/>
    <x v="2"/>
    <x v="6"/>
    <n v="1"/>
    <n v="6498"/>
    <n v="6498"/>
    <n v="149141"/>
    <s v="LEAD1987"/>
    <n v="2026"/>
  </r>
  <r>
    <s v="2026-09-15"/>
    <x v="8"/>
    <s v="ORD0258"/>
    <x v="0"/>
    <s v="West Bengal"/>
    <s v="Ahmedabad"/>
    <x v="0"/>
    <s v="Sales_8"/>
    <s v="Website"/>
    <x v="2"/>
    <x v="2"/>
    <x v="2"/>
    <n v="2"/>
    <n v="42995"/>
    <n v="85990"/>
    <n v="110471"/>
    <s v="LEAD1466"/>
    <n v="2026"/>
  </r>
  <r>
    <s v="2026-09-16"/>
    <x v="8"/>
    <s v="ORD0259"/>
    <x v="3"/>
    <s v="Tamil Nadu"/>
    <s v="Ahmedabad"/>
    <x v="7"/>
    <s v="Sales_19"/>
    <s v="Amazon"/>
    <x v="0"/>
    <x v="3"/>
    <x v="7"/>
    <n v="8"/>
    <n v="48562"/>
    <n v="388496"/>
    <n v="146630"/>
    <s v="LEAD3778"/>
    <n v="2026"/>
  </r>
  <r>
    <s v="2026-09-17"/>
    <x v="8"/>
    <s v="ORD0260"/>
    <x v="2"/>
    <s v="Maharashtra"/>
    <s v="Bangalore"/>
    <x v="3"/>
    <s v="Sales_27"/>
    <s v="Amazon"/>
    <x v="0"/>
    <x v="1"/>
    <x v="1"/>
    <n v="8"/>
    <n v="40591"/>
    <n v="324728"/>
    <n v="93098"/>
    <s v="LEAD1345"/>
    <n v="2026"/>
  </r>
  <r>
    <s v="2026-09-18"/>
    <x v="8"/>
    <s v="ORD0261"/>
    <x v="3"/>
    <s v="Tamil Nadu"/>
    <s v="Delhi"/>
    <x v="0"/>
    <s v="Sales_5"/>
    <s v="Retail Store"/>
    <x v="2"/>
    <x v="3"/>
    <x v="1"/>
    <n v="10"/>
    <n v="24440"/>
    <n v="244400"/>
    <n v="61831"/>
    <s v="LEAD1343"/>
    <n v="2026"/>
  </r>
  <r>
    <s v="2026-09-19"/>
    <x v="8"/>
    <s v="ORD0262"/>
    <x v="0"/>
    <s v="Tamil Nadu"/>
    <s v="Delhi"/>
    <x v="2"/>
    <s v="Sales_25"/>
    <s v="Website"/>
    <x v="1"/>
    <x v="3"/>
    <x v="6"/>
    <n v="4"/>
    <n v="30447"/>
    <n v="121788"/>
    <n v="85063"/>
    <s v="LEAD4201"/>
    <n v="2026"/>
  </r>
  <r>
    <s v="2026-09-20"/>
    <x v="8"/>
    <s v="ORD0263"/>
    <x v="1"/>
    <s v="Tamil Nadu"/>
    <s v="Bangalore"/>
    <x v="3"/>
    <s v="Sales_13"/>
    <s v="Website"/>
    <x v="0"/>
    <x v="0"/>
    <x v="1"/>
    <n v="9"/>
    <n v="38808"/>
    <n v="349272"/>
    <n v="123583"/>
    <s v="LEAD1558"/>
    <n v="2026"/>
  </r>
  <r>
    <s v="2026-09-21"/>
    <x v="8"/>
    <s v="ORD0264"/>
    <x v="1"/>
    <s v="Maharashtra"/>
    <s v="Delhi"/>
    <x v="2"/>
    <s v="Sales_7"/>
    <s v="Retail Store"/>
    <x v="1"/>
    <x v="3"/>
    <x v="0"/>
    <n v="3"/>
    <n v="32958"/>
    <n v="98874"/>
    <n v="42856"/>
    <s v="LEAD1989"/>
    <n v="2026"/>
  </r>
  <r>
    <s v="2026-09-22"/>
    <x v="8"/>
    <s v="ORD0265"/>
    <x v="1"/>
    <s v="Karnataka"/>
    <s v="Bangalore"/>
    <x v="6"/>
    <s v="Sales_14"/>
    <s v="Retail Store"/>
    <x v="1"/>
    <x v="0"/>
    <x v="3"/>
    <n v="7"/>
    <n v="49343"/>
    <n v="345401"/>
    <n v="88352"/>
    <s v="LEAD1874"/>
    <n v="2026"/>
  </r>
  <r>
    <s v="2026-09-23"/>
    <x v="8"/>
    <s v="ORD0266"/>
    <x v="3"/>
    <s v="Tamil Nadu"/>
    <s v="Delhi"/>
    <x v="4"/>
    <s v="Sales_30"/>
    <s v="Amazon"/>
    <x v="0"/>
    <x v="3"/>
    <x v="2"/>
    <n v="10"/>
    <n v="31079"/>
    <n v="310790"/>
    <n v="17901"/>
    <s v="LEAD1210"/>
    <n v="2026"/>
  </r>
  <r>
    <s v="2026-09-24"/>
    <x v="8"/>
    <s v="ORD0267"/>
    <x v="3"/>
    <s v="Gujarat"/>
    <s v="Ahmedabad"/>
    <x v="3"/>
    <s v="Sales_5"/>
    <s v="Retail Store"/>
    <x v="0"/>
    <x v="1"/>
    <x v="2"/>
    <n v="1"/>
    <n v="46335"/>
    <n v="46335"/>
    <n v="136096"/>
    <s v="LEAD3990"/>
    <n v="2026"/>
  </r>
  <r>
    <s v="2026-09-25"/>
    <x v="8"/>
    <s v="ORD0268"/>
    <x v="0"/>
    <s v="Delhi"/>
    <s v="Kolkata"/>
    <x v="0"/>
    <s v="Sales_2"/>
    <s v="Website"/>
    <x v="0"/>
    <x v="2"/>
    <x v="2"/>
    <n v="6"/>
    <n v="10851"/>
    <n v="65106"/>
    <n v="78150"/>
    <s v="LEAD3549"/>
    <n v="2026"/>
  </r>
  <r>
    <s v="2026-09-26"/>
    <x v="8"/>
    <s v="ORD0269"/>
    <x v="1"/>
    <s v="Maharashtra"/>
    <s v="Delhi"/>
    <x v="0"/>
    <s v="Sales_11"/>
    <s v="Website"/>
    <x v="1"/>
    <x v="2"/>
    <x v="7"/>
    <n v="6"/>
    <n v="45602"/>
    <n v="273612"/>
    <n v="91962"/>
    <s v="LEAD3146"/>
    <n v="2026"/>
  </r>
  <r>
    <s v="2026-09-27"/>
    <x v="8"/>
    <s v="ORD0270"/>
    <x v="2"/>
    <s v="Delhi"/>
    <s v="Mumbai"/>
    <x v="3"/>
    <s v="Sales_17"/>
    <s v="WhatsApp"/>
    <x v="0"/>
    <x v="2"/>
    <x v="2"/>
    <n v="1"/>
    <n v="34642"/>
    <n v="34642"/>
    <n v="136389"/>
    <s v="LEAD1589"/>
    <n v="2026"/>
  </r>
  <r>
    <s v="2026-09-28"/>
    <x v="8"/>
    <s v="ORD0271"/>
    <x v="2"/>
    <s v="Tamil Nadu"/>
    <s v="Ahmedabad"/>
    <x v="2"/>
    <s v="Sales_1"/>
    <s v="Retail Store"/>
    <x v="0"/>
    <x v="0"/>
    <x v="7"/>
    <n v="2"/>
    <n v="44232"/>
    <n v="88464"/>
    <n v="42421"/>
    <s v="LEAD4063"/>
    <n v="2026"/>
  </r>
  <r>
    <s v="2026-09-29"/>
    <x v="8"/>
    <s v="ORD0272"/>
    <x v="0"/>
    <s v="West Bengal"/>
    <s v="Kolkata"/>
    <x v="3"/>
    <s v="Sales_3"/>
    <s v="Website"/>
    <x v="2"/>
    <x v="2"/>
    <x v="2"/>
    <n v="5"/>
    <n v="32062"/>
    <n v="160310"/>
    <n v="41363"/>
    <s v="LEAD2110"/>
    <n v="2026"/>
  </r>
  <r>
    <s v="2026-09-30"/>
    <x v="8"/>
    <s v="ORD0273"/>
    <x v="1"/>
    <s v="Maharashtra"/>
    <s v="Kolkata"/>
    <x v="7"/>
    <s v="Sales_8"/>
    <s v="Website"/>
    <x v="0"/>
    <x v="0"/>
    <x v="6"/>
    <n v="1"/>
    <n v="32274"/>
    <n v="32274"/>
    <n v="66135"/>
    <s v="LEAD1580"/>
    <n v="2026"/>
  </r>
  <r>
    <s v="2026-10-01"/>
    <x v="9"/>
    <s v="ORD0274"/>
    <x v="1"/>
    <s v="Karnataka"/>
    <s v="Kolkata"/>
    <x v="0"/>
    <s v="Sales_24"/>
    <s v="WhatsApp"/>
    <x v="0"/>
    <x v="0"/>
    <x v="7"/>
    <n v="5"/>
    <n v="49855"/>
    <n v="249275"/>
    <n v="23610"/>
    <s v="LEAD1346"/>
    <n v="2026"/>
  </r>
  <r>
    <s v="2026-10-02"/>
    <x v="9"/>
    <s v="ORD0275"/>
    <x v="0"/>
    <s v="Tamil Nadu"/>
    <s v="Bangalore"/>
    <x v="3"/>
    <s v="Sales_6"/>
    <s v="WhatsApp"/>
    <x v="0"/>
    <x v="1"/>
    <x v="0"/>
    <n v="9"/>
    <n v="36871"/>
    <n v="331839"/>
    <n v="56292"/>
    <s v="LEAD4979"/>
    <n v="2026"/>
  </r>
  <r>
    <s v="2026-10-03"/>
    <x v="9"/>
    <s v="ORD0276"/>
    <x v="3"/>
    <s v="Gujarat"/>
    <s v="Bangalore"/>
    <x v="7"/>
    <s v="Sales_7"/>
    <s v="WhatsApp"/>
    <x v="2"/>
    <x v="0"/>
    <x v="4"/>
    <n v="5"/>
    <n v="31022"/>
    <n v="155110"/>
    <n v="31058"/>
    <s v="LEAD2938"/>
    <n v="2026"/>
  </r>
  <r>
    <s v="2026-10-04"/>
    <x v="9"/>
    <s v="ORD0277"/>
    <x v="2"/>
    <s v="Maharashtra"/>
    <s v="Ahmedabad"/>
    <x v="2"/>
    <s v="Sales_28"/>
    <s v="WhatsApp"/>
    <x v="0"/>
    <x v="0"/>
    <x v="3"/>
    <n v="6"/>
    <n v="3117"/>
    <n v="18702"/>
    <n v="12334"/>
    <s v="LEAD3383"/>
    <n v="2026"/>
  </r>
  <r>
    <s v="2026-10-05"/>
    <x v="9"/>
    <s v="ORD0278"/>
    <x v="3"/>
    <s v="Maharashtra"/>
    <s v="Mumbai"/>
    <x v="4"/>
    <s v="Sales_9"/>
    <s v="Retail Store"/>
    <x v="2"/>
    <x v="1"/>
    <x v="4"/>
    <n v="5"/>
    <n v="20527"/>
    <n v="102635"/>
    <n v="130949"/>
    <s v="LEAD1987"/>
    <n v="2026"/>
  </r>
  <r>
    <s v="2026-10-06"/>
    <x v="9"/>
    <s v="ORD0279"/>
    <x v="3"/>
    <s v="Delhi"/>
    <s v="Bangalore"/>
    <x v="6"/>
    <s v="Sales_17"/>
    <s v="WhatsApp"/>
    <x v="1"/>
    <x v="2"/>
    <x v="2"/>
    <n v="2"/>
    <n v="35566"/>
    <n v="71132"/>
    <n v="51108"/>
    <s v="LEAD3823"/>
    <n v="2026"/>
  </r>
  <r>
    <s v="2026-10-07"/>
    <x v="9"/>
    <s v="ORD0280"/>
    <x v="2"/>
    <s v="Karnataka"/>
    <s v="Kolkata"/>
    <x v="5"/>
    <s v="Sales_7"/>
    <s v="WhatsApp"/>
    <x v="0"/>
    <x v="1"/>
    <x v="6"/>
    <n v="9"/>
    <n v="4870"/>
    <n v="43830"/>
    <n v="84797"/>
    <s v="LEAD2440"/>
    <n v="2026"/>
  </r>
  <r>
    <s v="2026-10-08"/>
    <x v="9"/>
    <s v="ORD0281"/>
    <x v="3"/>
    <s v="Gujarat"/>
    <s v="Bangalore"/>
    <x v="6"/>
    <s v="Sales_3"/>
    <s v="Website"/>
    <x v="1"/>
    <x v="2"/>
    <x v="3"/>
    <n v="6"/>
    <n v="12485"/>
    <n v="74910"/>
    <n v="117206"/>
    <s v="LEAD4102"/>
    <n v="2026"/>
  </r>
  <r>
    <s v="2026-10-09"/>
    <x v="9"/>
    <s v="ORD0282"/>
    <x v="1"/>
    <s v="Tamil Nadu"/>
    <s v="Delhi"/>
    <x v="0"/>
    <s v="Sales_11"/>
    <s v="WhatsApp"/>
    <x v="0"/>
    <x v="1"/>
    <x v="1"/>
    <n v="7"/>
    <n v="37332"/>
    <n v="261324"/>
    <n v="36519"/>
    <s v="LEAD1080"/>
    <n v="2026"/>
  </r>
  <r>
    <s v="2026-10-10"/>
    <x v="9"/>
    <s v="ORD0283"/>
    <x v="0"/>
    <s v="West Bengal"/>
    <s v="Chennai"/>
    <x v="2"/>
    <s v="Sales_11"/>
    <s v="WhatsApp"/>
    <x v="0"/>
    <x v="0"/>
    <x v="2"/>
    <n v="2"/>
    <n v="16294"/>
    <n v="32588"/>
    <n v="71734"/>
    <s v="LEAD3657"/>
    <n v="2026"/>
  </r>
  <r>
    <s v="2026-10-11"/>
    <x v="9"/>
    <s v="ORD0284"/>
    <x v="3"/>
    <s v="Tamil Nadu"/>
    <s v="Delhi"/>
    <x v="3"/>
    <s v="Sales_20"/>
    <s v="Website"/>
    <x v="1"/>
    <x v="1"/>
    <x v="1"/>
    <n v="9"/>
    <n v="28351"/>
    <n v="255159"/>
    <n v="144762"/>
    <s v="LEAD3990"/>
    <n v="2026"/>
  </r>
  <r>
    <s v="2026-10-12"/>
    <x v="9"/>
    <s v="ORD0285"/>
    <x v="1"/>
    <s v="Gujarat"/>
    <s v="Ahmedabad"/>
    <x v="3"/>
    <s v="Sales_29"/>
    <s v="Retail Store"/>
    <x v="0"/>
    <x v="2"/>
    <x v="2"/>
    <n v="2"/>
    <n v="32454"/>
    <n v="64908"/>
    <n v="23837"/>
    <s v="LEAD2409"/>
    <n v="2026"/>
  </r>
  <r>
    <s v="2026-10-13"/>
    <x v="9"/>
    <s v="ORD0286"/>
    <x v="0"/>
    <s v="Gujarat"/>
    <s v="Delhi"/>
    <x v="6"/>
    <s v="Sales_4"/>
    <s v="WhatsApp"/>
    <x v="2"/>
    <x v="2"/>
    <x v="4"/>
    <n v="3"/>
    <n v="31991"/>
    <n v="95973"/>
    <n v="12880"/>
    <s v="LEAD4223"/>
    <n v="2026"/>
  </r>
  <r>
    <s v="2026-10-14"/>
    <x v="9"/>
    <s v="ORD0287"/>
    <x v="1"/>
    <s v="West Bengal"/>
    <s v="Bangalore"/>
    <x v="2"/>
    <s v="Sales_11"/>
    <s v="WhatsApp"/>
    <x v="1"/>
    <x v="3"/>
    <x v="3"/>
    <n v="6"/>
    <n v="17697"/>
    <n v="106182"/>
    <n v="25901"/>
    <s v="LEAD2382"/>
    <n v="2026"/>
  </r>
  <r>
    <s v="2026-10-15"/>
    <x v="9"/>
    <s v="ORD0288"/>
    <x v="1"/>
    <s v="Delhi"/>
    <s v="Chennai"/>
    <x v="2"/>
    <s v="Sales_19"/>
    <s v="WhatsApp"/>
    <x v="1"/>
    <x v="2"/>
    <x v="0"/>
    <n v="8"/>
    <n v="43309"/>
    <n v="346472"/>
    <n v="82666"/>
    <s v="LEAD1945"/>
    <n v="2026"/>
  </r>
  <r>
    <s v="2026-10-16"/>
    <x v="9"/>
    <s v="ORD0289"/>
    <x v="3"/>
    <s v="West Bengal"/>
    <s v="Chennai"/>
    <x v="7"/>
    <s v="Sales_22"/>
    <s v="WhatsApp"/>
    <x v="2"/>
    <x v="3"/>
    <x v="5"/>
    <n v="7"/>
    <n v="20607"/>
    <n v="144249"/>
    <n v="98430"/>
    <s v="LEAD4887"/>
    <n v="2026"/>
  </r>
  <r>
    <s v="2026-10-17"/>
    <x v="9"/>
    <s v="ORD0290"/>
    <x v="2"/>
    <s v="Delhi"/>
    <s v="Ahmedabad"/>
    <x v="3"/>
    <s v="Sales_23"/>
    <s v="WhatsApp"/>
    <x v="2"/>
    <x v="0"/>
    <x v="7"/>
    <n v="7"/>
    <n v="772"/>
    <n v="5404"/>
    <n v="48218"/>
    <s v="LEAD2149"/>
    <n v="2026"/>
  </r>
  <r>
    <s v="2026-10-18"/>
    <x v="9"/>
    <s v="ORD0291"/>
    <x v="2"/>
    <s v="Delhi"/>
    <s v="Bangalore"/>
    <x v="0"/>
    <s v="Sales_12"/>
    <s v="Retail Store"/>
    <x v="2"/>
    <x v="3"/>
    <x v="0"/>
    <n v="10"/>
    <n v="43573"/>
    <n v="435730"/>
    <n v="51047"/>
    <s v="LEAD2745"/>
    <n v="2026"/>
  </r>
  <r>
    <s v="2026-10-19"/>
    <x v="9"/>
    <s v="ORD0292"/>
    <x v="2"/>
    <s v="Karnataka"/>
    <s v="Mumbai"/>
    <x v="1"/>
    <s v="Sales_4"/>
    <s v="Website"/>
    <x v="2"/>
    <x v="0"/>
    <x v="4"/>
    <n v="9"/>
    <n v="8382"/>
    <n v="75438"/>
    <n v="66289"/>
    <s v="LEAD4602"/>
    <n v="2026"/>
  </r>
  <r>
    <s v="2026-10-20"/>
    <x v="9"/>
    <s v="ORD0293"/>
    <x v="1"/>
    <s v="Karnataka"/>
    <s v="Mumbai"/>
    <x v="1"/>
    <s v="Sales_22"/>
    <s v="Retail Store"/>
    <x v="0"/>
    <x v="0"/>
    <x v="4"/>
    <n v="7"/>
    <n v="11262"/>
    <n v="78834"/>
    <n v="136416"/>
    <s v="LEAD1737"/>
    <n v="2026"/>
  </r>
  <r>
    <s v="2026-10-21"/>
    <x v="9"/>
    <s v="ORD0294"/>
    <x v="0"/>
    <s v="Karnataka"/>
    <s v="Delhi"/>
    <x v="3"/>
    <s v="Sales_2"/>
    <s v="Retail Store"/>
    <x v="1"/>
    <x v="2"/>
    <x v="7"/>
    <n v="4"/>
    <n v="6567"/>
    <n v="26268"/>
    <n v="91597"/>
    <s v="LEAD1076"/>
    <n v="2026"/>
  </r>
  <r>
    <s v="2026-10-22"/>
    <x v="9"/>
    <s v="ORD0295"/>
    <x v="3"/>
    <s v="Gujarat"/>
    <s v="Chennai"/>
    <x v="3"/>
    <s v="Sales_13"/>
    <s v="Retail Store"/>
    <x v="2"/>
    <x v="3"/>
    <x v="3"/>
    <n v="7"/>
    <n v="41814"/>
    <n v="292698"/>
    <n v="58294"/>
    <s v="LEAD4497"/>
    <n v="2026"/>
  </r>
  <r>
    <s v="2026-10-23"/>
    <x v="9"/>
    <s v="ORD0296"/>
    <x v="0"/>
    <s v="West Bengal"/>
    <s v="Ahmedabad"/>
    <x v="3"/>
    <s v="Sales_7"/>
    <s v="Amazon"/>
    <x v="2"/>
    <x v="0"/>
    <x v="2"/>
    <n v="9"/>
    <n v="46407"/>
    <n v="417663"/>
    <n v="54214"/>
    <s v="LEAD1050"/>
    <n v="2026"/>
  </r>
  <r>
    <s v="2026-10-24"/>
    <x v="9"/>
    <s v="ORD0297"/>
    <x v="0"/>
    <s v="Maharashtra"/>
    <s v="Kolkata"/>
    <x v="6"/>
    <s v="Sales_26"/>
    <s v="Website"/>
    <x v="2"/>
    <x v="0"/>
    <x v="0"/>
    <n v="3"/>
    <n v="30285"/>
    <n v="90855"/>
    <n v="16154"/>
    <s v="LEAD1818"/>
    <n v="2026"/>
  </r>
  <r>
    <s v="2026-10-25"/>
    <x v="9"/>
    <s v="ORD0298"/>
    <x v="1"/>
    <s v="Tamil Nadu"/>
    <s v="Delhi"/>
    <x v="5"/>
    <s v="Sales_12"/>
    <s v="WhatsApp"/>
    <x v="2"/>
    <x v="1"/>
    <x v="6"/>
    <n v="8"/>
    <n v="33845"/>
    <n v="270760"/>
    <n v="85785"/>
    <s v="LEAD4483"/>
    <n v="2026"/>
  </r>
  <r>
    <s v="2026-10-26"/>
    <x v="9"/>
    <s v="ORD0299"/>
    <x v="3"/>
    <s v="Maharashtra"/>
    <s v="Delhi"/>
    <x v="1"/>
    <s v="Sales_26"/>
    <s v="Amazon"/>
    <x v="1"/>
    <x v="1"/>
    <x v="1"/>
    <n v="3"/>
    <n v="48683"/>
    <n v="146049"/>
    <n v="135939"/>
    <s v="LEAD3716"/>
    <n v="2026"/>
  </r>
  <r>
    <s v="2026-10-27"/>
    <x v="9"/>
    <s v="ORD0300"/>
    <x v="2"/>
    <s v="Karnataka"/>
    <s v="Delhi"/>
    <x v="5"/>
    <s v="Sales_16"/>
    <s v="Retail Store"/>
    <x v="2"/>
    <x v="0"/>
    <x v="0"/>
    <n v="10"/>
    <n v="28996"/>
    <n v="289960"/>
    <n v="40533"/>
    <s v="LEAD3581"/>
    <n v="2026"/>
  </r>
  <r>
    <s v="2026-10-28"/>
    <x v="9"/>
    <s v="ORD0301"/>
    <x v="3"/>
    <s v="West Bengal"/>
    <s v="Kolkata"/>
    <x v="6"/>
    <s v="Sales_29"/>
    <s v="WhatsApp"/>
    <x v="1"/>
    <x v="1"/>
    <x v="0"/>
    <n v="2"/>
    <n v="42211"/>
    <n v="84422"/>
    <n v="81055"/>
    <s v="LEAD2239"/>
    <n v="2026"/>
  </r>
  <r>
    <s v="2026-10-29"/>
    <x v="9"/>
    <s v="ORD0302"/>
    <x v="2"/>
    <s v="Maharashtra"/>
    <s v="Chennai"/>
    <x v="4"/>
    <s v="Sales_4"/>
    <s v="Retail Store"/>
    <x v="2"/>
    <x v="3"/>
    <x v="5"/>
    <n v="2"/>
    <n v="41790"/>
    <n v="83580"/>
    <n v="143469"/>
    <s v="LEAD1518"/>
    <n v="2026"/>
  </r>
  <r>
    <s v="2026-10-30"/>
    <x v="9"/>
    <s v="ORD0303"/>
    <x v="2"/>
    <s v="West Bengal"/>
    <s v="Ahmedabad"/>
    <x v="1"/>
    <s v="Sales_4"/>
    <s v="WhatsApp"/>
    <x v="1"/>
    <x v="0"/>
    <x v="2"/>
    <n v="5"/>
    <n v="11978"/>
    <n v="59890"/>
    <n v="25084"/>
    <s v="LEAD4368"/>
    <n v="2026"/>
  </r>
  <r>
    <s v="2026-10-31"/>
    <x v="9"/>
    <s v="ORD0304"/>
    <x v="1"/>
    <s v="West Bengal"/>
    <s v="Kolkata"/>
    <x v="7"/>
    <s v="Sales_12"/>
    <s v="Retail Store"/>
    <x v="2"/>
    <x v="3"/>
    <x v="5"/>
    <n v="3"/>
    <n v="44618"/>
    <n v="133854"/>
    <n v="113883"/>
    <s v="LEAD4732"/>
    <n v="2026"/>
  </r>
  <r>
    <s v="2026-11-01"/>
    <x v="10"/>
    <s v="ORD0305"/>
    <x v="3"/>
    <s v="Gujarat"/>
    <s v="Delhi"/>
    <x v="7"/>
    <s v="Sales_26"/>
    <s v="Retail Store"/>
    <x v="0"/>
    <x v="3"/>
    <x v="5"/>
    <n v="8"/>
    <n v="37304"/>
    <n v="298432"/>
    <n v="135075"/>
    <s v="LEAD3345"/>
    <n v="2026"/>
  </r>
  <r>
    <s v="2026-11-02"/>
    <x v="10"/>
    <s v="ORD0306"/>
    <x v="3"/>
    <s v="Gujarat"/>
    <s v="Mumbai"/>
    <x v="6"/>
    <s v="Sales_15"/>
    <s v="WhatsApp"/>
    <x v="0"/>
    <x v="3"/>
    <x v="7"/>
    <n v="10"/>
    <n v="7803"/>
    <n v="78030"/>
    <n v="138913"/>
    <s v="LEAD4618"/>
    <n v="2026"/>
  </r>
  <r>
    <s v="2026-11-03"/>
    <x v="10"/>
    <s v="ORD0307"/>
    <x v="3"/>
    <s v="Gujarat"/>
    <s v="Mumbai"/>
    <x v="1"/>
    <s v="Sales_5"/>
    <s v="Website"/>
    <x v="2"/>
    <x v="2"/>
    <x v="5"/>
    <n v="9"/>
    <n v="37676"/>
    <n v="339084"/>
    <n v="143581"/>
    <s v="LEAD1606"/>
    <n v="2026"/>
  </r>
  <r>
    <s v="2026-11-04"/>
    <x v="10"/>
    <s v="ORD0308"/>
    <x v="3"/>
    <s v="Delhi"/>
    <s v="Kolkata"/>
    <x v="2"/>
    <s v="Sales_26"/>
    <s v="Amazon"/>
    <x v="1"/>
    <x v="2"/>
    <x v="4"/>
    <n v="2"/>
    <n v="41380"/>
    <n v="82760"/>
    <n v="72350"/>
    <s v="LEAD4763"/>
    <n v="2026"/>
  </r>
  <r>
    <s v="2026-11-05"/>
    <x v="10"/>
    <s v="ORD0309"/>
    <x v="2"/>
    <s v="West Bengal"/>
    <s v="Ahmedabad"/>
    <x v="3"/>
    <s v="Sales_29"/>
    <s v="Amazon"/>
    <x v="1"/>
    <x v="2"/>
    <x v="2"/>
    <n v="6"/>
    <n v="27644"/>
    <n v="165864"/>
    <n v="63708"/>
    <s v="LEAD4817"/>
    <n v="2026"/>
  </r>
  <r>
    <s v="2026-11-06"/>
    <x v="10"/>
    <s v="ORD0310"/>
    <x v="3"/>
    <s v="West Bengal"/>
    <s v="Delhi"/>
    <x v="1"/>
    <s v="Sales_22"/>
    <s v="WhatsApp"/>
    <x v="2"/>
    <x v="3"/>
    <x v="3"/>
    <n v="3"/>
    <n v="19072"/>
    <n v="57216"/>
    <n v="18393"/>
    <s v="LEAD3087"/>
    <n v="2026"/>
  </r>
  <r>
    <s v="2026-11-07"/>
    <x v="10"/>
    <s v="ORD0311"/>
    <x v="2"/>
    <s v="Tamil Nadu"/>
    <s v="Ahmedabad"/>
    <x v="4"/>
    <s v="Sales_3"/>
    <s v="Amazon"/>
    <x v="1"/>
    <x v="2"/>
    <x v="0"/>
    <n v="8"/>
    <n v="24503"/>
    <n v="196024"/>
    <n v="26053"/>
    <s v="LEAD4915"/>
    <n v="2026"/>
  </r>
  <r>
    <s v="2026-11-08"/>
    <x v="10"/>
    <s v="ORD0312"/>
    <x v="0"/>
    <s v="Delhi"/>
    <s v="Bangalore"/>
    <x v="4"/>
    <s v="Sales_9"/>
    <s v="Amazon"/>
    <x v="0"/>
    <x v="2"/>
    <x v="6"/>
    <n v="1"/>
    <n v="26693"/>
    <n v="26693"/>
    <n v="62566"/>
    <s v="LEAD4532"/>
    <n v="2026"/>
  </r>
  <r>
    <s v="2026-11-09"/>
    <x v="10"/>
    <s v="ORD0313"/>
    <x v="0"/>
    <s v="Maharashtra"/>
    <s v="Kolkata"/>
    <x v="5"/>
    <s v="Sales_14"/>
    <s v="WhatsApp"/>
    <x v="1"/>
    <x v="3"/>
    <x v="7"/>
    <n v="1"/>
    <n v="48852"/>
    <n v="48852"/>
    <n v="117622"/>
    <s v="LEAD3930"/>
    <n v="2026"/>
  </r>
  <r>
    <s v="2026-11-10"/>
    <x v="10"/>
    <s v="ORD0314"/>
    <x v="1"/>
    <s v="West Bengal"/>
    <s v="Mumbai"/>
    <x v="4"/>
    <s v="Sales_17"/>
    <s v="Website"/>
    <x v="1"/>
    <x v="1"/>
    <x v="0"/>
    <n v="2"/>
    <n v="43380"/>
    <n v="86760"/>
    <n v="49480"/>
    <s v="LEAD2245"/>
    <n v="2026"/>
  </r>
  <r>
    <s v="2026-11-11"/>
    <x v="10"/>
    <s v="ORD0315"/>
    <x v="0"/>
    <s v="Maharashtra"/>
    <s v="Chennai"/>
    <x v="1"/>
    <s v="Sales_6"/>
    <s v="Retail Store"/>
    <x v="2"/>
    <x v="0"/>
    <x v="1"/>
    <n v="3"/>
    <n v="34122"/>
    <n v="102366"/>
    <n v="97435"/>
    <s v="LEAD4475"/>
    <n v="2026"/>
  </r>
  <r>
    <s v="2026-11-12"/>
    <x v="10"/>
    <s v="ORD0316"/>
    <x v="3"/>
    <s v="Karnataka"/>
    <s v="Ahmedabad"/>
    <x v="1"/>
    <s v="Sales_6"/>
    <s v="Retail Store"/>
    <x v="2"/>
    <x v="2"/>
    <x v="3"/>
    <n v="2"/>
    <n v="31121"/>
    <n v="62242"/>
    <n v="82144"/>
    <s v="LEAD4546"/>
    <n v="2026"/>
  </r>
  <r>
    <s v="2026-11-13"/>
    <x v="10"/>
    <s v="ORD0317"/>
    <x v="2"/>
    <s v="Gujarat"/>
    <s v="Bangalore"/>
    <x v="2"/>
    <s v="Sales_8"/>
    <s v="Amazon"/>
    <x v="2"/>
    <x v="3"/>
    <x v="4"/>
    <n v="4"/>
    <n v="20585"/>
    <n v="82340"/>
    <n v="92817"/>
    <s v="LEAD4259"/>
    <n v="2026"/>
  </r>
  <r>
    <s v="2026-11-14"/>
    <x v="10"/>
    <s v="ORD0318"/>
    <x v="1"/>
    <s v="Delhi"/>
    <s v="Bangalore"/>
    <x v="1"/>
    <s v="Sales_19"/>
    <s v="Amazon"/>
    <x v="2"/>
    <x v="3"/>
    <x v="7"/>
    <n v="1"/>
    <n v="30028"/>
    <n v="30028"/>
    <n v="57353"/>
    <s v="LEAD4965"/>
    <n v="2026"/>
  </r>
  <r>
    <s v="2026-11-15"/>
    <x v="10"/>
    <s v="ORD0319"/>
    <x v="1"/>
    <s v="Karnataka"/>
    <s v="Ahmedabad"/>
    <x v="2"/>
    <s v="Sales_27"/>
    <s v="Retail Store"/>
    <x v="1"/>
    <x v="0"/>
    <x v="1"/>
    <n v="9"/>
    <n v="25080"/>
    <n v="225720"/>
    <n v="66698"/>
    <s v="LEAD4156"/>
    <n v="2026"/>
  </r>
  <r>
    <s v="2026-11-16"/>
    <x v="10"/>
    <s v="ORD0320"/>
    <x v="1"/>
    <s v="Gujarat"/>
    <s v="Ahmedabad"/>
    <x v="0"/>
    <s v="Sales_20"/>
    <s v="Amazon"/>
    <x v="0"/>
    <x v="3"/>
    <x v="3"/>
    <n v="5"/>
    <n v="33379"/>
    <n v="166895"/>
    <n v="74681"/>
    <s v="LEAD1543"/>
    <n v="2026"/>
  </r>
  <r>
    <s v="2026-11-17"/>
    <x v="10"/>
    <s v="ORD0321"/>
    <x v="0"/>
    <s v="Gujarat"/>
    <s v="Kolkata"/>
    <x v="3"/>
    <s v="Sales_26"/>
    <s v="Website"/>
    <x v="0"/>
    <x v="3"/>
    <x v="4"/>
    <n v="6"/>
    <n v="9924"/>
    <n v="59544"/>
    <n v="107992"/>
    <s v="LEAD4267"/>
    <n v="2026"/>
  </r>
  <r>
    <s v="2026-11-18"/>
    <x v="10"/>
    <s v="ORD0322"/>
    <x v="1"/>
    <s v="Gujarat"/>
    <s v="Ahmedabad"/>
    <x v="5"/>
    <s v="Sales_13"/>
    <s v="Amazon"/>
    <x v="0"/>
    <x v="0"/>
    <x v="5"/>
    <n v="6"/>
    <n v="1970"/>
    <n v="11820"/>
    <n v="52921"/>
    <s v="LEAD1601"/>
    <n v="2026"/>
  </r>
  <r>
    <s v="2026-11-19"/>
    <x v="10"/>
    <s v="ORD0323"/>
    <x v="2"/>
    <s v="Maharashtra"/>
    <s v="Mumbai"/>
    <x v="4"/>
    <s v="Sales_7"/>
    <s v="Retail Store"/>
    <x v="2"/>
    <x v="0"/>
    <x v="6"/>
    <n v="5"/>
    <n v="23716"/>
    <n v="118580"/>
    <n v="137480"/>
    <s v="LEAD2542"/>
    <n v="2026"/>
  </r>
  <r>
    <s v="2026-11-20"/>
    <x v="10"/>
    <s v="ORD0324"/>
    <x v="2"/>
    <s v="West Bengal"/>
    <s v="Ahmedabad"/>
    <x v="2"/>
    <s v="Sales_6"/>
    <s v="Website"/>
    <x v="2"/>
    <x v="2"/>
    <x v="2"/>
    <n v="8"/>
    <n v="14581"/>
    <n v="116648"/>
    <n v="119359"/>
    <s v="LEAD3121"/>
    <n v="2026"/>
  </r>
  <r>
    <s v="2026-11-21"/>
    <x v="10"/>
    <s v="ORD0325"/>
    <x v="3"/>
    <s v="Maharashtra"/>
    <s v="Delhi"/>
    <x v="5"/>
    <s v="Sales_22"/>
    <s v="Amazon"/>
    <x v="1"/>
    <x v="3"/>
    <x v="6"/>
    <n v="1"/>
    <n v="29897"/>
    <n v="29897"/>
    <n v="130699"/>
    <s v="LEAD3156"/>
    <n v="2026"/>
  </r>
  <r>
    <s v="2026-11-22"/>
    <x v="10"/>
    <s v="ORD0326"/>
    <x v="1"/>
    <s v="West Bengal"/>
    <s v="Bangalore"/>
    <x v="7"/>
    <s v="Sales_9"/>
    <s v="Retail Store"/>
    <x v="2"/>
    <x v="3"/>
    <x v="2"/>
    <n v="2"/>
    <n v="48954"/>
    <n v="97908"/>
    <n v="107852"/>
    <s v="LEAD3552"/>
    <n v="2026"/>
  </r>
  <r>
    <s v="2026-11-23"/>
    <x v="10"/>
    <s v="ORD0327"/>
    <x v="3"/>
    <s v="Gujarat"/>
    <s v="Mumbai"/>
    <x v="3"/>
    <s v="Sales_12"/>
    <s v="Retail Store"/>
    <x v="2"/>
    <x v="2"/>
    <x v="3"/>
    <n v="5"/>
    <n v="35778"/>
    <n v="178890"/>
    <n v="83298"/>
    <s v="LEAD2515"/>
    <n v="2026"/>
  </r>
  <r>
    <s v="2026-11-24"/>
    <x v="10"/>
    <s v="ORD0328"/>
    <x v="1"/>
    <s v="Delhi"/>
    <s v="Bangalore"/>
    <x v="0"/>
    <s v="Sales_30"/>
    <s v="WhatsApp"/>
    <x v="1"/>
    <x v="3"/>
    <x v="0"/>
    <n v="2"/>
    <n v="13191"/>
    <n v="26382"/>
    <n v="61212"/>
    <s v="LEAD3491"/>
    <n v="2026"/>
  </r>
  <r>
    <s v="2026-11-25"/>
    <x v="10"/>
    <s v="ORD0329"/>
    <x v="2"/>
    <s v="Karnataka"/>
    <s v="Delhi"/>
    <x v="7"/>
    <s v="Sales_19"/>
    <s v="Retail Store"/>
    <x v="1"/>
    <x v="2"/>
    <x v="4"/>
    <n v="8"/>
    <n v="14366"/>
    <n v="114928"/>
    <n v="52676"/>
    <s v="LEAD4220"/>
    <n v="2026"/>
  </r>
  <r>
    <s v="2026-11-26"/>
    <x v="10"/>
    <s v="ORD0330"/>
    <x v="2"/>
    <s v="Gujarat"/>
    <s v="Delhi"/>
    <x v="4"/>
    <s v="Sales_19"/>
    <s v="WhatsApp"/>
    <x v="1"/>
    <x v="1"/>
    <x v="7"/>
    <n v="3"/>
    <n v="43402"/>
    <n v="130206"/>
    <n v="110180"/>
    <s v="LEAD2394"/>
    <n v="2026"/>
  </r>
  <r>
    <s v="2026-11-27"/>
    <x v="10"/>
    <s v="ORD0331"/>
    <x v="2"/>
    <s v="Gujarat"/>
    <s v="Chennai"/>
    <x v="2"/>
    <s v="Sales_28"/>
    <s v="Retail Store"/>
    <x v="1"/>
    <x v="3"/>
    <x v="4"/>
    <n v="7"/>
    <n v="7073"/>
    <n v="49511"/>
    <n v="134600"/>
    <s v="LEAD2423"/>
    <n v="2026"/>
  </r>
  <r>
    <s v="2026-11-28"/>
    <x v="10"/>
    <s v="ORD0332"/>
    <x v="2"/>
    <s v="Tamil Nadu"/>
    <s v="Delhi"/>
    <x v="5"/>
    <s v="Sales_25"/>
    <s v="WhatsApp"/>
    <x v="1"/>
    <x v="1"/>
    <x v="5"/>
    <n v="3"/>
    <n v="1578"/>
    <n v="4734"/>
    <n v="127887"/>
    <s v="LEAD1946"/>
    <n v="2026"/>
  </r>
  <r>
    <s v="2026-11-29"/>
    <x v="10"/>
    <s v="ORD0333"/>
    <x v="1"/>
    <s v="Delhi"/>
    <s v="Kolkata"/>
    <x v="0"/>
    <s v="Sales_2"/>
    <s v="Amazon"/>
    <x v="0"/>
    <x v="0"/>
    <x v="5"/>
    <n v="7"/>
    <n v="47525"/>
    <n v="332675"/>
    <n v="85979"/>
    <s v="LEAD4848"/>
    <n v="2026"/>
  </r>
  <r>
    <s v="2026-11-30"/>
    <x v="10"/>
    <s v="ORD0334"/>
    <x v="3"/>
    <s v="Maharashtra"/>
    <s v="Kolkata"/>
    <x v="3"/>
    <s v="Sales_5"/>
    <s v="Amazon"/>
    <x v="2"/>
    <x v="0"/>
    <x v="6"/>
    <n v="6"/>
    <n v="23452"/>
    <n v="140712"/>
    <n v="72216"/>
    <s v="LEAD3719"/>
    <n v="2026"/>
  </r>
  <r>
    <s v="2026-12-01"/>
    <x v="11"/>
    <s v="ORD0335"/>
    <x v="0"/>
    <s v="Maharashtra"/>
    <s v="Ahmedabad"/>
    <x v="0"/>
    <s v="Sales_22"/>
    <s v="Amazon"/>
    <x v="1"/>
    <x v="3"/>
    <x v="4"/>
    <n v="8"/>
    <n v="41337"/>
    <n v="330696"/>
    <n v="47157"/>
    <s v="LEAD3966"/>
    <n v="2026"/>
  </r>
  <r>
    <s v="2026-12-02"/>
    <x v="11"/>
    <s v="ORD0336"/>
    <x v="3"/>
    <s v="Delhi"/>
    <s v="Kolkata"/>
    <x v="0"/>
    <s v="Sales_5"/>
    <s v="Amazon"/>
    <x v="1"/>
    <x v="0"/>
    <x v="0"/>
    <n v="2"/>
    <n v="41056"/>
    <n v="82112"/>
    <n v="141240"/>
    <s v="LEAD1840"/>
    <n v="2026"/>
  </r>
  <r>
    <s v="2026-12-03"/>
    <x v="11"/>
    <s v="ORD0337"/>
    <x v="0"/>
    <s v="West Bengal"/>
    <s v="Bangalore"/>
    <x v="2"/>
    <s v="Sales_18"/>
    <s v="Retail Store"/>
    <x v="1"/>
    <x v="0"/>
    <x v="4"/>
    <n v="8"/>
    <n v="17290"/>
    <n v="138320"/>
    <n v="46852"/>
    <s v="LEAD2243"/>
    <n v="2026"/>
  </r>
  <r>
    <s v="2026-12-04"/>
    <x v="11"/>
    <s v="ORD0338"/>
    <x v="0"/>
    <s v="Tamil Nadu"/>
    <s v="Ahmedabad"/>
    <x v="5"/>
    <s v="Sales_30"/>
    <s v="WhatsApp"/>
    <x v="2"/>
    <x v="2"/>
    <x v="0"/>
    <n v="7"/>
    <n v="16615"/>
    <n v="116305"/>
    <n v="11598"/>
    <s v="LEAD2211"/>
    <n v="2026"/>
  </r>
  <r>
    <s v="2026-12-05"/>
    <x v="11"/>
    <s v="ORD0339"/>
    <x v="2"/>
    <s v="Delhi"/>
    <s v="Chennai"/>
    <x v="2"/>
    <s v="Sales_30"/>
    <s v="WhatsApp"/>
    <x v="2"/>
    <x v="0"/>
    <x v="6"/>
    <n v="8"/>
    <n v="17769"/>
    <n v="142152"/>
    <n v="21638"/>
    <s v="LEAD2554"/>
    <n v="2026"/>
  </r>
  <r>
    <s v="2026-12-06"/>
    <x v="11"/>
    <s v="ORD0340"/>
    <x v="1"/>
    <s v="Tamil Nadu"/>
    <s v="Bangalore"/>
    <x v="2"/>
    <s v="Sales_18"/>
    <s v="Retail Store"/>
    <x v="1"/>
    <x v="2"/>
    <x v="5"/>
    <n v="10"/>
    <n v="17223"/>
    <n v="172230"/>
    <n v="62746"/>
    <s v="LEAD2819"/>
    <n v="2026"/>
  </r>
  <r>
    <s v="2026-12-07"/>
    <x v="11"/>
    <s v="ORD0341"/>
    <x v="0"/>
    <s v="Maharashtra"/>
    <s v="Bangalore"/>
    <x v="2"/>
    <s v="Sales_15"/>
    <s v="Retail Store"/>
    <x v="1"/>
    <x v="2"/>
    <x v="3"/>
    <n v="10"/>
    <n v="11349"/>
    <n v="113490"/>
    <n v="42413"/>
    <s v="LEAD1946"/>
    <n v="2026"/>
  </r>
  <r>
    <s v="2026-12-08"/>
    <x v="11"/>
    <s v="ORD0342"/>
    <x v="2"/>
    <s v="Maharashtra"/>
    <s v="Mumbai"/>
    <x v="5"/>
    <s v="Sales_11"/>
    <s v="Amazon"/>
    <x v="0"/>
    <x v="1"/>
    <x v="1"/>
    <n v="10"/>
    <n v="8422"/>
    <n v="84220"/>
    <n v="58511"/>
    <s v="LEAD4237"/>
    <n v="2026"/>
  </r>
  <r>
    <s v="2026-12-09"/>
    <x v="11"/>
    <s v="ORD0343"/>
    <x v="2"/>
    <s v="Gujarat"/>
    <s v="Bangalore"/>
    <x v="5"/>
    <s v="Sales_15"/>
    <s v="Retail Store"/>
    <x v="2"/>
    <x v="2"/>
    <x v="7"/>
    <n v="2"/>
    <n v="23192"/>
    <n v="46384"/>
    <n v="86363"/>
    <s v="LEAD2179"/>
    <n v="2026"/>
  </r>
  <r>
    <s v="2026-12-10"/>
    <x v="11"/>
    <s v="ORD0344"/>
    <x v="1"/>
    <s v="West Bengal"/>
    <s v="Mumbai"/>
    <x v="1"/>
    <s v="Sales_28"/>
    <s v="Amazon"/>
    <x v="1"/>
    <x v="1"/>
    <x v="1"/>
    <n v="9"/>
    <n v="39641"/>
    <n v="356769"/>
    <n v="111933"/>
    <s v="LEAD4084"/>
    <n v="2026"/>
  </r>
  <r>
    <s v="2026-12-11"/>
    <x v="11"/>
    <s v="ORD0345"/>
    <x v="1"/>
    <s v="Delhi"/>
    <s v="Kolkata"/>
    <x v="0"/>
    <s v="Sales_29"/>
    <s v="Retail Store"/>
    <x v="1"/>
    <x v="1"/>
    <x v="6"/>
    <n v="8"/>
    <n v="12488"/>
    <n v="99904"/>
    <n v="83501"/>
    <s v="LEAD4978"/>
    <n v="2026"/>
  </r>
  <r>
    <s v="2026-12-12"/>
    <x v="11"/>
    <s v="ORD0346"/>
    <x v="1"/>
    <s v="Maharashtra"/>
    <s v="Mumbai"/>
    <x v="2"/>
    <s v="Sales_2"/>
    <s v="WhatsApp"/>
    <x v="1"/>
    <x v="2"/>
    <x v="3"/>
    <n v="8"/>
    <n v="42191"/>
    <n v="337528"/>
    <n v="81003"/>
    <s v="LEAD4859"/>
    <n v="2026"/>
  </r>
  <r>
    <s v="2026-12-13"/>
    <x v="11"/>
    <s v="ORD0347"/>
    <x v="3"/>
    <s v="Maharashtra"/>
    <s v="Chennai"/>
    <x v="0"/>
    <s v="Sales_11"/>
    <s v="WhatsApp"/>
    <x v="0"/>
    <x v="1"/>
    <x v="3"/>
    <n v="6"/>
    <n v="49460"/>
    <n v="296760"/>
    <n v="96045"/>
    <s v="LEAD3573"/>
    <n v="2026"/>
  </r>
  <r>
    <s v="2026-12-14"/>
    <x v="11"/>
    <s v="ORD0348"/>
    <x v="1"/>
    <s v="West Bengal"/>
    <s v="Bangalore"/>
    <x v="4"/>
    <s v="Sales_18"/>
    <s v="WhatsApp"/>
    <x v="1"/>
    <x v="3"/>
    <x v="1"/>
    <n v="10"/>
    <n v="21821"/>
    <n v="218210"/>
    <n v="42081"/>
    <s v="LEAD3912"/>
    <n v="2026"/>
  </r>
  <r>
    <s v="2026-12-15"/>
    <x v="11"/>
    <s v="ORD0349"/>
    <x v="2"/>
    <s v="Gujarat"/>
    <s v="Bangalore"/>
    <x v="4"/>
    <s v="Sales_1"/>
    <s v="Website"/>
    <x v="2"/>
    <x v="2"/>
    <x v="7"/>
    <n v="5"/>
    <n v="5263"/>
    <n v="26315"/>
    <n v="56347"/>
    <s v="LEAD4479"/>
    <n v="2026"/>
  </r>
  <r>
    <s v="2026-12-16"/>
    <x v="11"/>
    <s v="ORD0350"/>
    <x v="3"/>
    <s v="West Bengal"/>
    <s v="Delhi"/>
    <x v="0"/>
    <s v="Sales_24"/>
    <s v="Retail Store"/>
    <x v="2"/>
    <x v="3"/>
    <x v="6"/>
    <n v="2"/>
    <n v="43649"/>
    <n v="87298"/>
    <n v="12580"/>
    <s v="LEAD3820"/>
    <n v="2026"/>
  </r>
  <r>
    <s v="2026-12-17"/>
    <x v="11"/>
    <s v="ORD0351"/>
    <x v="0"/>
    <s v="West Bengal"/>
    <s v="Delhi"/>
    <x v="6"/>
    <s v="Sales_1"/>
    <s v="Website"/>
    <x v="2"/>
    <x v="1"/>
    <x v="0"/>
    <n v="1"/>
    <n v="7683"/>
    <n v="7683"/>
    <n v="16917"/>
    <s v="LEAD4933"/>
    <n v="2026"/>
  </r>
  <r>
    <s v="2026-12-18"/>
    <x v="11"/>
    <s v="ORD0352"/>
    <x v="2"/>
    <s v="Delhi"/>
    <s v="Bangalore"/>
    <x v="0"/>
    <s v="Sales_19"/>
    <s v="Amazon"/>
    <x v="1"/>
    <x v="2"/>
    <x v="5"/>
    <n v="3"/>
    <n v="43177"/>
    <n v="129531"/>
    <n v="86591"/>
    <s v="LEAD4596"/>
    <n v="2026"/>
  </r>
  <r>
    <s v="2026-12-19"/>
    <x v="11"/>
    <s v="ORD0353"/>
    <x v="0"/>
    <s v="West Bengal"/>
    <s v="Mumbai"/>
    <x v="7"/>
    <s v="Sales_11"/>
    <s v="Website"/>
    <x v="1"/>
    <x v="2"/>
    <x v="2"/>
    <n v="5"/>
    <n v="9312"/>
    <n v="46560"/>
    <n v="79182"/>
    <s v="LEAD1767"/>
    <n v="2026"/>
  </r>
  <r>
    <s v="2026-12-20"/>
    <x v="11"/>
    <s v="ORD0354"/>
    <x v="2"/>
    <s v="Karnataka"/>
    <s v="Delhi"/>
    <x v="0"/>
    <s v="Sales_3"/>
    <s v="Amazon"/>
    <x v="0"/>
    <x v="1"/>
    <x v="2"/>
    <n v="4"/>
    <n v="5885"/>
    <n v="23540"/>
    <n v="23463"/>
    <s v="LEAD2548"/>
    <n v="2026"/>
  </r>
  <r>
    <s v="2026-12-21"/>
    <x v="11"/>
    <s v="ORD0355"/>
    <x v="0"/>
    <s v="Delhi"/>
    <s v="Bangalore"/>
    <x v="2"/>
    <s v="Sales_19"/>
    <s v="Retail Store"/>
    <x v="1"/>
    <x v="3"/>
    <x v="1"/>
    <n v="9"/>
    <n v="8612"/>
    <n v="77508"/>
    <n v="110533"/>
    <s v="LEAD4525"/>
    <n v="2026"/>
  </r>
  <r>
    <s v="2026-12-22"/>
    <x v="11"/>
    <s v="ORD0356"/>
    <x v="2"/>
    <s v="Gujarat"/>
    <s v="Delhi"/>
    <x v="0"/>
    <s v="Sales_24"/>
    <s v="Website"/>
    <x v="0"/>
    <x v="1"/>
    <x v="0"/>
    <n v="6"/>
    <n v="30964"/>
    <n v="185784"/>
    <n v="142743"/>
    <s v="LEAD3823"/>
    <n v="2026"/>
  </r>
  <r>
    <s v="2026-12-23"/>
    <x v="11"/>
    <s v="ORD0357"/>
    <x v="3"/>
    <s v="Delhi"/>
    <s v="Ahmedabad"/>
    <x v="3"/>
    <s v="Sales_19"/>
    <s v="WhatsApp"/>
    <x v="1"/>
    <x v="0"/>
    <x v="5"/>
    <n v="4"/>
    <n v="22323"/>
    <n v="89292"/>
    <n v="144607"/>
    <s v="LEAD2433"/>
    <n v="2026"/>
  </r>
  <r>
    <s v="2026-12-24"/>
    <x v="11"/>
    <s v="ORD0358"/>
    <x v="0"/>
    <s v="Delhi"/>
    <s v="Chennai"/>
    <x v="6"/>
    <s v="Sales_14"/>
    <s v="Website"/>
    <x v="2"/>
    <x v="2"/>
    <x v="7"/>
    <n v="3"/>
    <n v="24687"/>
    <n v="74061"/>
    <n v="48030"/>
    <s v="LEAD3018"/>
    <n v="2026"/>
  </r>
  <r>
    <s v="2026-12-25"/>
    <x v="11"/>
    <s v="ORD0359"/>
    <x v="0"/>
    <s v="Karnataka"/>
    <s v="Chennai"/>
    <x v="3"/>
    <s v="Sales_24"/>
    <s v="Retail Store"/>
    <x v="1"/>
    <x v="0"/>
    <x v="2"/>
    <n v="1"/>
    <n v="13517"/>
    <n v="13517"/>
    <n v="68278"/>
    <s v="LEAD1658"/>
    <n v="2026"/>
  </r>
  <r>
    <s v="2026-12-26"/>
    <x v="11"/>
    <s v="ORD0360"/>
    <x v="3"/>
    <s v="Maharashtra"/>
    <s v="Bangalore"/>
    <x v="5"/>
    <s v="Sales_29"/>
    <s v="Amazon"/>
    <x v="0"/>
    <x v="2"/>
    <x v="7"/>
    <n v="6"/>
    <n v="45636"/>
    <n v="273816"/>
    <n v="33490"/>
    <s v="LEAD2537"/>
    <n v="2026"/>
  </r>
  <r>
    <s v="2026-12-27"/>
    <x v="11"/>
    <s v="ORD0361"/>
    <x v="0"/>
    <s v="Tamil Nadu"/>
    <s v="Mumbai"/>
    <x v="3"/>
    <s v="Sales_20"/>
    <s v="Retail Store"/>
    <x v="0"/>
    <x v="1"/>
    <x v="3"/>
    <n v="10"/>
    <n v="4400"/>
    <n v="44000"/>
    <n v="128593"/>
    <s v="LEAD1855"/>
    <n v="2026"/>
  </r>
  <r>
    <s v="2026-12-28"/>
    <x v="11"/>
    <s v="ORD0362"/>
    <x v="0"/>
    <s v="Tamil Nadu"/>
    <s v="Delhi"/>
    <x v="7"/>
    <s v="Sales_14"/>
    <s v="WhatsApp"/>
    <x v="0"/>
    <x v="1"/>
    <x v="3"/>
    <n v="7"/>
    <n v="42638"/>
    <n v="298466"/>
    <n v="98005"/>
    <s v="LEAD3587"/>
    <n v="2026"/>
  </r>
  <r>
    <s v="2026-12-29"/>
    <x v="11"/>
    <s v="ORD0363"/>
    <x v="2"/>
    <s v="Maharashtra"/>
    <s v="Kolkata"/>
    <x v="5"/>
    <s v="Sales_20"/>
    <s v="Website"/>
    <x v="0"/>
    <x v="3"/>
    <x v="0"/>
    <n v="10"/>
    <n v="40394"/>
    <n v="403940"/>
    <n v="61279"/>
    <s v="LEAD3758"/>
    <n v="2026"/>
  </r>
  <r>
    <s v="2026-12-30"/>
    <x v="11"/>
    <s v="ORD0364"/>
    <x v="2"/>
    <s v="Maharashtra"/>
    <s v="Ahmedabad"/>
    <x v="2"/>
    <s v="Sales_6"/>
    <s v="Retail Store"/>
    <x v="0"/>
    <x v="2"/>
    <x v="4"/>
    <n v="7"/>
    <n v="31587"/>
    <n v="221109"/>
    <n v="28823"/>
    <s v="LEAD1765"/>
    <n v="2026"/>
  </r>
  <r>
    <s v="2026-12-31"/>
    <x v="11"/>
    <s v="ORD0365"/>
    <x v="0"/>
    <s v="Tamil Nadu"/>
    <s v="Kolkata"/>
    <x v="1"/>
    <s v="Sales_30"/>
    <s v="Website"/>
    <x v="2"/>
    <x v="0"/>
    <x v="1"/>
    <n v="5"/>
    <n v="20014"/>
    <n v="100070"/>
    <n v="28020"/>
    <s v="LEAD4060"/>
    <n v="2026"/>
  </r>
  <r>
    <s v="2027-01-01"/>
    <x v="0"/>
    <s v="ORD0366"/>
    <x v="2"/>
    <s v="Karnataka"/>
    <s v="Bangalore"/>
    <x v="6"/>
    <s v="Sales_16"/>
    <s v="Amazon"/>
    <x v="1"/>
    <x v="2"/>
    <x v="3"/>
    <n v="9"/>
    <n v="39452"/>
    <n v="355068"/>
    <n v="81408"/>
    <s v="LEAD4463"/>
    <n v="2027"/>
  </r>
  <r>
    <s v="2027-01-02"/>
    <x v="0"/>
    <s v="ORD0367"/>
    <x v="3"/>
    <s v="Delhi"/>
    <s v="Bangalore"/>
    <x v="0"/>
    <s v="Sales_14"/>
    <s v="Retail Store"/>
    <x v="2"/>
    <x v="2"/>
    <x v="7"/>
    <n v="6"/>
    <n v="13512"/>
    <n v="81072"/>
    <n v="132269"/>
    <s v="LEAD2060"/>
    <n v="2027"/>
  </r>
  <r>
    <s v="2027-01-03"/>
    <x v="0"/>
    <s v="ORD0368"/>
    <x v="3"/>
    <s v="Delhi"/>
    <s v="Mumbai"/>
    <x v="3"/>
    <s v="Sales_15"/>
    <s v="Website"/>
    <x v="1"/>
    <x v="3"/>
    <x v="3"/>
    <n v="4"/>
    <n v="36244"/>
    <n v="144976"/>
    <n v="66963"/>
    <s v="LEAD3052"/>
    <n v="2027"/>
  </r>
  <r>
    <s v="2027-01-04"/>
    <x v="0"/>
    <s v="ORD0369"/>
    <x v="1"/>
    <s v="West Bengal"/>
    <s v="Mumbai"/>
    <x v="0"/>
    <s v="Sales_29"/>
    <s v="Website"/>
    <x v="0"/>
    <x v="0"/>
    <x v="5"/>
    <n v="8"/>
    <n v="29239"/>
    <n v="233912"/>
    <n v="79860"/>
    <s v="LEAD2724"/>
    <n v="2027"/>
  </r>
  <r>
    <s v="2027-01-05"/>
    <x v="0"/>
    <s v="ORD0370"/>
    <x v="2"/>
    <s v="Tamil Nadu"/>
    <s v="Bangalore"/>
    <x v="1"/>
    <s v="Sales_1"/>
    <s v="Website"/>
    <x v="2"/>
    <x v="3"/>
    <x v="3"/>
    <n v="6"/>
    <n v="31177"/>
    <n v="187062"/>
    <n v="58680"/>
    <s v="LEAD1266"/>
    <n v="2027"/>
  </r>
  <r>
    <s v="2027-01-06"/>
    <x v="0"/>
    <s v="ORD0371"/>
    <x v="3"/>
    <s v="Tamil Nadu"/>
    <s v="Bangalore"/>
    <x v="3"/>
    <s v="Sales_14"/>
    <s v="WhatsApp"/>
    <x v="2"/>
    <x v="3"/>
    <x v="2"/>
    <n v="3"/>
    <n v="46554"/>
    <n v="139662"/>
    <n v="58697"/>
    <s v="LEAD3591"/>
    <n v="2027"/>
  </r>
  <r>
    <s v="2027-01-07"/>
    <x v="0"/>
    <s v="ORD0372"/>
    <x v="3"/>
    <s v="Maharashtra"/>
    <s v="Ahmedabad"/>
    <x v="3"/>
    <s v="Sales_7"/>
    <s v="Retail Store"/>
    <x v="0"/>
    <x v="0"/>
    <x v="6"/>
    <n v="4"/>
    <n v="35902"/>
    <n v="143608"/>
    <n v="97254"/>
    <s v="LEAD2512"/>
    <n v="2027"/>
  </r>
  <r>
    <s v="2027-01-08"/>
    <x v="0"/>
    <s v="ORD0373"/>
    <x v="3"/>
    <s v="Delhi"/>
    <s v="Delhi"/>
    <x v="7"/>
    <s v="Sales_24"/>
    <s v="WhatsApp"/>
    <x v="0"/>
    <x v="1"/>
    <x v="6"/>
    <n v="4"/>
    <n v="2375"/>
    <n v="9500"/>
    <n v="57890"/>
    <s v="LEAD3969"/>
    <n v="2027"/>
  </r>
  <r>
    <s v="2027-01-09"/>
    <x v="0"/>
    <s v="ORD0374"/>
    <x v="3"/>
    <s v="Maharashtra"/>
    <s v="Ahmedabad"/>
    <x v="4"/>
    <s v="Sales_6"/>
    <s v="WhatsApp"/>
    <x v="0"/>
    <x v="2"/>
    <x v="2"/>
    <n v="9"/>
    <n v="45253"/>
    <n v="407277"/>
    <n v="90220"/>
    <s v="LEAD3151"/>
    <n v="2027"/>
  </r>
  <r>
    <s v="2027-01-10"/>
    <x v="0"/>
    <s v="ORD0375"/>
    <x v="1"/>
    <s v="West Bengal"/>
    <s v="Ahmedabad"/>
    <x v="7"/>
    <s v="Sales_2"/>
    <s v="Retail Store"/>
    <x v="1"/>
    <x v="0"/>
    <x v="7"/>
    <n v="9"/>
    <n v="48002"/>
    <n v="432018"/>
    <n v="18392"/>
    <s v="LEAD2330"/>
    <n v="2027"/>
  </r>
  <r>
    <s v="2027-01-11"/>
    <x v="0"/>
    <s v="ORD0376"/>
    <x v="0"/>
    <s v="Delhi"/>
    <s v="Ahmedabad"/>
    <x v="2"/>
    <s v="Sales_9"/>
    <s v="Amazon"/>
    <x v="1"/>
    <x v="2"/>
    <x v="2"/>
    <n v="9"/>
    <n v="32423"/>
    <n v="291807"/>
    <n v="129972"/>
    <s v="LEAD2963"/>
    <n v="2027"/>
  </r>
  <r>
    <s v="2027-01-12"/>
    <x v="0"/>
    <s v="ORD0377"/>
    <x v="0"/>
    <s v="Delhi"/>
    <s v="Delhi"/>
    <x v="2"/>
    <s v="Sales_15"/>
    <s v="Website"/>
    <x v="2"/>
    <x v="2"/>
    <x v="6"/>
    <n v="7"/>
    <n v="37442"/>
    <n v="262094"/>
    <n v="93107"/>
    <s v="LEAD3196"/>
    <n v="2027"/>
  </r>
  <r>
    <s v="2027-01-13"/>
    <x v="0"/>
    <s v="ORD0378"/>
    <x v="0"/>
    <s v="West Bengal"/>
    <s v="Chennai"/>
    <x v="3"/>
    <s v="Sales_12"/>
    <s v="Website"/>
    <x v="1"/>
    <x v="3"/>
    <x v="4"/>
    <n v="10"/>
    <n v="18742"/>
    <n v="187420"/>
    <n v="88441"/>
    <s v="LEAD4358"/>
    <n v="2027"/>
  </r>
  <r>
    <s v="2027-01-14"/>
    <x v="0"/>
    <s v="ORD0379"/>
    <x v="1"/>
    <s v="West Bengal"/>
    <s v="Chennai"/>
    <x v="2"/>
    <s v="Sales_17"/>
    <s v="Retail Store"/>
    <x v="1"/>
    <x v="0"/>
    <x v="7"/>
    <n v="3"/>
    <n v="36451"/>
    <n v="109353"/>
    <n v="103156"/>
    <s v="LEAD4323"/>
    <n v="2027"/>
  </r>
  <r>
    <s v="2027-01-15"/>
    <x v="0"/>
    <s v="ORD0380"/>
    <x v="2"/>
    <s v="Gujarat"/>
    <s v="Delhi"/>
    <x v="3"/>
    <s v="Sales_27"/>
    <s v="Website"/>
    <x v="0"/>
    <x v="1"/>
    <x v="0"/>
    <n v="4"/>
    <n v="21037"/>
    <n v="84148"/>
    <n v="39020"/>
    <s v="LEAD1408"/>
    <n v="2027"/>
  </r>
  <r>
    <s v="2027-01-16"/>
    <x v="0"/>
    <s v="ORD0381"/>
    <x v="1"/>
    <s v="Maharashtra"/>
    <s v="Kolkata"/>
    <x v="5"/>
    <s v="Sales_30"/>
    <s v="Retail Store"/>
    <x v="1"/>
    <x v="1"/>
    <x v="1"/>
    <n v="9"/>
    <n v="16742"/>
    <n v="150678"/>
    <n v="65087"/>
    <s v="LEAD1771"/>
    <n v="2027"/>
  </r>
  <r>
    <s v="2027-01-17"/>
    <x v="0"/>
    <s v="ORD0382"/>
    <x v="1"/>
    <s v="Delhi"/>
    <s v="Mumbai"/>
    <x v="4"/>
    <s v="Sales_19"/>
    <s v="Website"/>
    <x v="1"/>
    <x v="3"/>
    <x v="5"/>
    <n v="2"/>
    <n v="33628"/>
    <n v="67256"/>
    <n v="132508"/>
    <s v="LEAD4116"/>
    <n v="2027"/>
  </r>
  <r>
    <s v="2027-01-18"/>
    <x v="0"/>
    <s v="ORD0383"/>
    <x v="0"/>
    <s v="Karnataka"/>
    <s v="Chennai"/>
    <x v="0"/>
    <s v="Sales_16"/>
    <s v="Retail Store"/>
    <x v="0"/>
    <x v="0"/>
    <x v="0"/>
    <n v="8"/>
    <n v="38405"/>
    <n v="307240"/>
    <n v="70898"/>
    <s v="LEAD1884"/>
    <n v="2027"/>
  </r>
  <r>
    <s v="2027-01-19"/>
    <x v="0"/>
    <s v="ORD0384"/>
    <x v="0"/>
    <s v="Delhi"/>
    <s v="Delhi"/>
    <x v="1"/>
    <s v="Sales_19"/>
    <s v="Retail Store"/>
    <x v="0"/>
    <x v="3"/>
    <x v="6"/>
    <n v="6"/>
    <n v="39972"/>
    <n v="239832"/>
    <n v="131294"/>
    <s v="LEAD4976"/>
    <n v="2027"/>
  </r>
  <r>
    <s v="2027-01-20"/>
    <x v="0"/>
    <s v="ORD0385"/>
    <x v="1"/>
    <s v="Tamil Nadu"/>
    <s v="Kolkata"/>
    <x v="7"/>
    <s v="Sales_29"/>
    <s v="Amazon"/>
    <x v="0"/>
    <x v="3"/>
    <x v="2"/>
    <n v="2"/>
    <n v="47177"/>
    <n v="94354"/>
    <n v="89166"/>
    <s v="LEAD1237"/>
    <n v="2027"/>
  </r>
  <r>
    <s v="2027-01-21"/>
    <x v="0"/>
    <s v="ORD0386"/>
    <x v="0"/>
    <s v="Karnataka"/>
    <s v="Bangalore"/>
    <x v="0"/>
    <s v="Sales_29"/>
    <s v="Website"/>
    <x v="2"/>
    <x v="2"/>
    <x v="5"/>
    <n v="8"/>
    <n v="49855"/>
    <n v="398840"/>
    <n v="58474"/>
    <s v="LEAD2356"/>
    <n v="2027"/>
  </r>
  <r>
    <s v="2027-01-22"/>
    <x v="0"/>
    <s v="ORD0387"/>
    <x v="0"/>
    <s v="Gujarat"/>
    <s v="Chennai"/>
    <x v="0"/>
    <s v="Sales_2"/>
    <s v="Retail Store"/>
    <x v="1"/>
    <x v="2"/>
    <x v="0"/>
    <n v="7"/>
    <n v="36113"/>
    <n v="252791"/>
    <n v="138044"/>
    <s v="LEAD2296"/>
    <n v="2027"/>
  </r>
  <r>
    <s v="2027-01-23"/>
    <x v="0"/>
    <s v="ORD0388"/>
    <x v="0"/>
    <s v="West Bengal"/>
    <s v="Delhi"/>
    <x v="7"/>
    <s v="Sales_25"/>
    <s v="Retail Store"/>
    <x v="1"/>
    <x v="1"/>
    <x v="7"/>
    <n v="8"/>
    <n v="23366"/>
    <n v="186928"/>
    <n v="115406"/>
    <s v="LEAD4604"/>
    <n v="2027"/>
  </r>
  <r>
    <s v="2027-01-24"/>
    <x v="0"/>
    <s v="ORD0389"/>
    <x v="2"/>
    <s v="Maharashtra"/>
    <s v="Ahmedabad"/>
    <x v="1"/>
    <s v="Sales_8"/>
    <s v="Website"/>
    <x v="1"/>
    <x v="0"/>
    <x v="3"/>
    <n v="5"/>
    <n v="40614"/>
    <n v="203070"/>
    <n v="77273"/>
    <s v="LEAD1963"/>
    <n v="2027"/>
  </r>
  <r>
    <s v="2027-01-25"/>
    <x v="0"/>
    <s v="ORD0390"/>
    <x v="1"/>
    <s v="Karnataka"/>
    <s v="Chennai"/>
    <x v="2"/>
    <s v="Sales_12"/>
    <s v="Website"/>
    <x v="0"/>
    <x v="3"/>
    <x v="3"/>
    <n v="2"/>
    <n v="11392"/>
    <n v="22784"/>
    <n v="59875"/>
    <s v="LEAD2934"/>
    <n v="2027"/>
  </r>
  <r>
    <s v="2027-01-26"/>
    <x v="0"/>
    <s v="ORD0391"/>
    <x v="1"/>
    <s v="Tamil Nadu"/>
    <s v="Delhi"/>
    <x v="7"/>
    <s v="Sales_16"/>
    <s v="Retail Store"/>
    <x v="2"/>
    <x v="1"/>
    <x v="5"/>
    <n v="6"/>
    <n v="8091"/>
    <n v="48546"/>
    <n v="75653"/>
    <s v="LEAD1982"/>
    <n v="2027"/>
  </r>
  <r>
    <s v="2027-01-27"/>
    <x v="0"/>
    <s v="ORD0392"/>
    <x v="2"/>
    <s v="Karnataka"/>
    <s v="Bangalore"/>
    <x v="1"/>
    <s v="Sales_16"/>
    <s v="Retail Store"/>
    <x v="0"/>
    <x v="3"/>
    <x v="5"/>
    <n v="5"/>
    <n v="48445"/>
    <n v="242225"/>
    <n v="45778"/>
    <s v="LEAD1953"/>
    <n v="2027"/>
  </r>
  <r>
    <s v="2027-01-28"/>
    <x v="0"/>
    <s v="ORD0393"/>
    <x v="0"/>
    <s v="Gujarat"/>
    <s v="Mumbai"/>
    <x v="6"/>
    <s v="Sales_10"/>
    <s v="Retail Store"/>
    <x v="0"/>
    <x v="1"/>
    <x v="5"/>
    <n v="1"/>
    <n v="42709"/>
    <n v="42709"/>
    <n v="68257"/>
    <s v="LEAD3286"/>
    <n v="2027"/>
  </r>
  <r>
    <s v="2027-01-29"/>
    <x v="0"/>
    <s v="ORD0394"/>
    <x v="2"/>
    <s v="Maharashtra"/>
    <s v="Chennai"/>
    <x v="1"/>
    <s v="Sales_7"/>
    <s v="WhatsApp"/>
    <x v="2"/>
    <x v="3"/>
    <x v="1"/>
    <n v="1"/>
    <n v="16451"/>
    <n v="16451"/>
    <n v="19135"/>
    <s v="LEAD4129"/>
    <n v="2027"/>
  </r>
  <r>
    <s v="2027-01-30"/>
    <x v="0"/>
    <s v="ORD0395"/>
    <x v="2"/>
    <s v="Tamil Nadu"/>
    <s v="Mumbai"/>
    <x v="1"/>
    <s v="Sales_25"/>
    <s v="WhatsApp"/>
    <x v="2"/>
    <x v="3"/>
    <x v="5"/>
    <n v="7"/>
    <n v="1552"/>
    <n v="10864"/>
    <n v="44747"/>
    <s v="LEAD1755"/>
    <n v="2027"/>
  </r>
  <r>
    <s v="2027-01-31"/>
    <x v="0"/>
    <s v="ORD0396"/>
    <x v="0"/>
    <s v="Karnataka"/>
    <s v="Chennai"/>
    <x v="2"/>
    <s v="Sales_10"/>
    <s v="Retail Store"/>
    <x v="2"/>
    <x v="3"/>
    <x v="3"/>
    <n v="8"/>
    <n v="45654"/>
    <n v="365232"/>
    <n v="135743"/>
    <s v="LEAD1425"/>
    <n v="2027"/>
  </r>
  <r>
    <s v="2027-02-01"/>
    <x v="1"/>
    <s v="ORD0397"/>
    <x v="1"/>
    <s v="Karnataka"/>
    <s v="Kolkata"/>
    <x v="7"/>
    <s v="Sales_5"/>
    <s v="Retail Store"/>
    <x v="0"/>
    <x v="3"/>
    <x v="3"/>
    <n v="2"/>
    <n v="15852"/>
    <n v="31704"/>
    <n v="29033"/>
    <s v="LEAD3479"/>
    <n v="2027"/>
  </r>
  <r>
    <s v="2027-02-02"/>
    <x v="1"/>
    <s v="ORD0398"/>
    <x v="1"/>
    <s v="West Bengal"/>
    <s v="Chennai"/>
    <x v="3"/>
    <s v="Sales_7"/>
    <s v="Retail Store"/>
    <x v="0"/>
    <x v="3"/>
    <x v="5"/>
    <n v="5"/>
    <n v="46241"/>
    <n v="231205"/>
    <n v="22696"/>
    <s v="LEAD3378"/>
    <n v="2027"/>
  </r>
  <r>
    <s v="2027-02-03"/>
    <x v="1"/>
    <s v="ORD0399"/>
    <x v="0"/>
    <s v="Karnataka"/>
    <s v="Kolkata"/>
    <x v="7"/>
    <s v="Sales_23"/>
    <s v="Amazon"/>
    <x v="2"/>
    <x v="0"/>
    <x v="2"/>
    <n v="3"/>
    <n v="25403"/>
    <n v="76209"/>
    <n v="116052"/>
    <s v="LEAD3140"/>
    <n v="2027"/>
  </r>
  <r>
    <s v="2027-02-04"/>
    <x v="1"/>
    <s v="ORD0400"/>
    <x v="1"/>
    <s v="Gujarat"/>
    <s v="Delhi"/>
    <x v="4"/>
    <s v="Sales_12"/>
    <s v="Retail Store"/>
    <x v="1"/>
    <x v="2"/>
    <x v="5"/>
    <n v="6"/>
    <n v="47457"/>
    <n v="284742"/>
    <n v="84336"/>
    <s v="LEAD1082"/>
    <n v="2027"/>
  </r>
  <r>
    <s v="2027-02-05"/>
    <x v="1"/>
    <s v="ORD0401"/>
    <x v="3"/>
    <s v="West Bengal"/>
    <s v="Chennai"/>
    <x v="1"/>
    <s v="Sales_4"/>
    <s v="Amazon"/>
    <x v="1"/>
    <x v="3"/>
    <x v="3"/>
    <n v="7"/>
    <n v="44954"/>
    <n v="314678"/>
    <n v="63288"/>
    <s v="LEAD2580"/>
    <n v="2027"/>
  </r>
  <r>
    <s v="2027-02-06"/>
    <x v="1"/>
    <s v="ORD0402"/>
    <x v="0"/>
    <s v="Gujarat"/>
    <s v="Chennai"/>
    <x v="5"/>
    <s v="Sales_11"/>
    <s v="WhatsApp"/>
    <x v="1"/>
    <x v="1"/>
    <x v="0"/>
    <n v="8"/>
    <n v="20909"/>
    <n v="167272"/>
    <n v="87038"/>
    <s v="LEAD2495"/>
    <n v="2027"/>
  </r>
  <r>
    <s v="2027-02-07"/>
    <x v="1"/>
    <s v="ORD0403"/>
    <x v="0"/>
    <s v="Karnataka"/>
    <s v="Kolkata"/>
    <x v="1"/>
    <s v="Sales_11"/>
    <s v="WhatsApp"/>
    <x v="2"/>
    <x v="2"/>
    <x v="1"/>
    <n v="6"/>
    <n v="41190"/>
    <n v="247140"/>
    <n v="95893"/>
    <s v="LEAD3037"/>
    <n v="2027"/>
  </r>
  <r>
    <s v="2027-02-08"/>
    <x v="1"/>
    <s v="ORD0404"/>
    <x v="2"/>
    <s v="West Bengal"/>
    <s v="Mumbai"/>
    <x v="6"/>
    <s v="Sales_25"/>
    <s v="Website"/>
    <x v="2"/>
    <x v="3"/>
    <x v="3"/>
    <n v="9"/>
    <n v="48843"/>
    <n v="439587"/>
    <n v="131397"/>
    <s v="LEAD2925"/>
    <n v="2027"/>
  </r>
  <r>
    <s v="2027-02-09"/>
    <x v="1"/>
    <s v="ORD0405"/>
    <x v="1"/>
    <s v="Delhi"/>
    <s v="Ahmedabad"/>
    <x v="6"/>
    <s v="Sales_23"/>
    <s v="Retail Store"/>
    <x v="2"/>
    <x v="0"/>
    <x v="1"/>
    <n v="2"/>
    <n v="7674"/>
    <n v="15348"/>
    <n v="68396"/>
    <s v="LEAD4586"/>
    <n v="2027"/>
  </r>
  <r>
    <s v="2027-02-10"/>
    <x v="1"/>
    <s v="ORD0406"/>
    <x v="3"/>
    <s v="Gujarat"/>
    <s v="Mumbai"/>
    <x v="5"/>
    <s v="Sales_29"/>
    <s v="Amazon"/>
    <x v="1"/>
    <x v="1"/>
    <x v="5"/>
    <n v="5"/>
    <n v="23038"/>
    <n v="115190"/>
    <n v="121673"/>
    <s v="LEAD4428"/>
    <n v="2027"/>
  </r>
  <r>
    <s v="2027-02-11"/>
    <x v="1"/>
    <s v="ORD0407"/>
    <x v="1"/>
    <s v="West Bengal"/>
    <s v="Bangalore"/>
    <x v="5"/>
    <s v="Sales_29"/>
    <s v="WhatsApp"/>
    <x v="0"/>
    <x v="1"/>
    <x v="3"/>
    <n v="10"/>
    <n v="36190"/>
    <n v="361900"/>
    <n v="122999"/>
    <s v="LEAD4349"/>
    <n v="2027"/>
  </r>
  <r>
    <s v="2027-02-12"/>
    <x v="1"/>
    <s v="ORD0408"/>
    <x v="2"/>
    <s v="Gujarat"/>
    <s v="Chennai"/>
    <x v="4"/>
    <s v="Sales_16"/>
    <s v="Retail Store"/>
    <x v="1"/>
    <x v="3"/>
    <x v="3"/>
    <n v="7"/>
    <n v="23743"/>
    <n v="166201"/>
    <n v="98795"/>
    <s v="LEAD1853"/>
    <n v="2027"/>
  </r>
  <r>
    <s v="2027-02-13"/>
    <x v="1"/>
    <s v="ORD0409"/>
    <x v="1"/>
    <s v="Maharashtra"/>
    <s v="Bangalore"/>
    <x v="1"/>
    <s v="Sales_24"/>
    <s v="Amazon"/>
    <x v="0"/>
    <x v="0"/>
    <x v="6"/>
    <n v="3"/>
    <n v="34071"/>
    <n v="102213"/>
    <n v="129156"/>
    <s v="LEAD3876"/>
    <n v="2027"/>
  </r>
  <r>
    <s v="2027-02-14"/>
    <x v="1"/>
    <s v="ORD0410"/>
    <x v="0"/>
    <s v="West Bengal"/>
    <s v="Delhi"/>
    <x v="2"/>
    <s v="Sales_1"/>
    <s v="Retail Store"/>
    <x v="2"/>
    <x v="1"/>
    <x v="0"/>
    <n v="7"/>
    <n v="28897"/>
    <n v="202279"/>
    <n v="77587"/>
    <s v="LEAD1708"/>
    <n v="2027"/>
  </r>
  <r>
    <s v="2027-02-15"/>
    <x v="1"/>
    <s v="ORD0411"/>
    <x v="2"/>
    <s v="Gujarat"/>
    <s v="Chennai"/>
    <x v="4"/>
    <s v="Sales_11"/>
    <s v="WhatsApp"/>
    <x v="2"/>
    <x v="2"/>
    <x v="0"/>
    <n v="9"/>
    <n v="28058"/>
    <n v="252522"/>
    <n v="64617"/>
    <s v="LEAD4039"/>
    <n v="2027"/>
  </r>
  <r>
    <s v="2027-02-16"/>
    <x v="1"/>
    <s v="ORD0412"/>
    <x v="3"/>
    <s v="West Bengal"/>
    <s v="Mumbai"/>
    <x v="0"/>
    <s v="Sales_21"/>
    <s v="Website"/>
    <x v="0"/>
    <x v="0"/>
    <x v="4"/>
    <n v="3"/>
    <n v="36086"/>
    <n v="108258"/>
    <n v="42602"/>
    <s v="LEAD4094"/>
    <n v="2027"/>
  </r>
  <r>
    <s v="2027-02-17"/>
    <x v="1"/>
    <s v="ORD0413"/>
    <x v="3"/>
    <s v="Tamil Nadu"/>
    <s v="Mumbai"/>
    <x v="4"/>
    <s v="Sales_16"/>
    <s v="Amazon"/>
    <x v="0"/>
    <x v="3"/>
    <x v="7"/>
    <n v="8"/>
    <n v="18407"/>
    <n v="147256"/>
    <n v="121283"/>
    <s v="LEAD4846"/>
    <n v="2027"/>
  </r>
  <r>
    <s v="2027-02-18"/>
    <x v="1"/>
    <s v="ORD0414"/>
    <x v="3"/>
    <s v="Karnataka"/>
    <s v="Delhi"/>
    <x v="2"/>
    <s v="Sales_18"/>
    <s v="Amazon"/>
    <x v="1"/>
    <x v="3"/>
    <x v="2"/>
    <n v="10"/>
    <n v="30368"/>
    <n v="303680"/>
    <n v="82970"/>
    <s v="LEAD4926"/>
    <n v="2027"/>
  </r>
  <r>
    <s v="2027-02-19"/>
    <x v="1"/>
    <s v="ORD0415"/>
    <x v="1"/>
    <s v="West Bengal"/>
    <s v="Delhi"/>
    <x v="6"/>
    <s v="Sales_29"/>
    <s v="WhatsApp"/>
    <x v="1"/>
    <x v="0"/>
    <x v="2"/>
    <n v="3"/>
    <n v="39474"/>
    <n v="118422"/>
    <n v="85171"/>
    <s v="LEAD2433"/>
    <n v="2027"/>
  </r>
  <r>
    <s v="2027-02-20"/>
    <x v="1"/>
    <s v="ORD0416"/>
    <x v="2"/>
    <s v="Gujarat"/>
    <s v="Delhi"/>
    <x v="6"/>
    <s v="Sales_23"/>
    <s v="Website"/>
    <x v="2"/>
    <x v="3"/>
    <x v="3"/>
    <n v="7"/>
    <n v="6461"/>
    <n v="45227"/>
    <n v="93049"/>
    <s v="LEAD2554"/>
    <n v="2027"/>
  </r>
  <r>
    <s v="2027-02-21"/>
    <x v="1"/>
    <s v="ORD0417"/>
    <x v="0"/>
    <s v="Tamil Nadu"/>
    <s v="Delhi"/>
    <x v="0"/>
    <s v="Sales_2"/>
    <s v="Amazon"/>
    <x v="1"/>
    <x v="1"/>
    <x v="5"/>
    <n v="1"/>
    <n v="36762"/>
    <n v="36762"/>
    <n v="103585"/>
    <s v="LEAD2866"/>
    <n v="2027"/>
  </r>
  <r>
    <s v="2027-02-22"/>
    <x v="1"/>
    <s v="ORD0418"/>
    <x v="3"/>
    <s v="Tamil Nadu"/>
    <s v="Ahmedabad"/>
    <x v="2"/>
    <s v="Sales_21"/>
    <s v="Amazon"/>
    <x v="1"/>
    <x v="1"/>
    <x v="6"/>
    <n v="6"/>
    <n v="25112"/>
    <n v="150672"/>
    <n v="26450"/>
    <s v="LEAD1812"/>
    <n v="2027"/>
  </r>
  <r>
    <s v="2027-02-23"/>
    <x v="1"/>
    <s v="ORD0419"/>
    <x v="2"/>
    <s v="Delhi"/>
    <s v="Kolkata"/>
    <x v="4"/>
    <s v="Sales_14"/>
    <s v="Retail Store"/>
    <x v="0"/>
    <x v="0"/>
    <x v="5"/>
    <n v="4"/>
    <n v="22945"/>
    <n v="91780"/>
    <n v="46779"/>
    <s v="LEAD1041"/>
    <n v="2027"/>
  </r>
  <r>
    <s v="2027-02-24"/>
    <x v="1"/>
    <s v="ORD0420"/>
    <x v="0"/>
    <s v="Gujarat"/>
    <s v="Mumbai"/>
    <x v="5"/>
    <s v="Sales_4"/>
    <s v="Amazon"/>
    <x v="0"/>
    <x v="3"/>
    <x v="1"/>
    <n v="3"/>
    <n v="17025"/>
    <n v="51075"/>
    <n v="31684"/>
    <s v="LEAD1754"/>
    <n v="2027"/>
  </r>
  <r>
    <s v="2027-02-25"/>
    <x v="1"/>
    <s v="ORD0421"/>
    <x v="1"/>
    <s v="West Bengal"/>
    <s v="Mumbai"/>
    <x v="7"/>
    <s v="Sales_17"/>
    <s v="WhatsApp"/>
    <x v="1"/>
    <x v="3"/>
    <x v="5"/>
    <n v="1"/>
    <n v="40420"/>
    <n v="40420"/>
    <n v="114546"/>
    <s v="LEAD2004"/>
    <n v="2027"/>
  </r>
  <r>
    <s v="2027-02-26"/>
    <x v="1"/>
    <s v="ORD0422"/>
    <x v="0"/>
    <s v="Tamil Nadu"/>
    <s v="Mumbai"/>
    <x v="1"/>
    <s v="Sales_2"/>
    <s v="Retail Store"/>
    <x v="1"/>
    <x v="0"/>
    <x v="6"/>
    <n v="7"/>
    <n v="43095"/>
    <n v="301665"/>
    <n v="73586"/>
    <s v="LEAD1286"/>
    <n v="2027"/>
  </r>
  <r>
    <s v="2027-02-27"/>
    <x v="1"/>
    <s v="ORD0423"/>
    <x v="0"/>
    <s v="Gujarat"/>
    <s v="Delhi"/>
    <x v="5"/>
    <s v="Sales_16"/>
    <s v="Website"/>
    <x v="2"/>
    <x v="2"/>
    <x v="2"/>
    <n v="7"/>
    <n v="2217"/>
    <n v="15519"/>
    <n v="74822"/>
    <s v="LEAD1499"/>
    <n v="2027"/>
  </r>
  <r>
    <s v="2027-02-28"/>
    <x v="1"/>
    <s v="ORD0424"/>
    <x v="2"/>
    <s v="West Bengal"/>
    <s v="Mumbai"/>
    <x v="2"/>
    <s v="Sales_13"/>
    <s v="Website"/>
    <x v="2"/>
    <x v="1"/>
    <x v="0"/>
    <n v="3"/>
    <n v="49581"/>
    <n v="148743"/>
    <n v="33153"/>
    <s v="LEAD3171"/>
    <n v="2027"/>
  </r>
  <r>
    <s v="2027-03-01"/>
    <x v="2"/>
    <s v="ORD0425"/>
    <x v="0"/>
    <s v="Karnataka"/>
    <s v="Kolkata"/>
    <x v="2"/>
    <s v="Sales_28"/>
    <s v="WhatsApp"/>
    <x v="0"/>
    <x v="0"/>
    <x v="2"/>
    <n v="1"/>
    <n v="42255"/>
    <n v="42255"/>
    <n v="115793"/>
    <s v="LEAD4282"/>
    <n v="2027"/>
  </r>
  <r>
    <s v="2027-03-02"/>
    <x v="2"/>
    <s v="ORD0426"/>
    <x v="0"/>
    <s v="West Bengal"/>
    <s v="Ahmedabad"/>
    <x v="4"/>
    <s v="Sales_16"/>
    <s v="WhatsApp"/>
    <x v="2"/>
    <x v="3"/>
    <x v="0"/>
    <n v="4"/>
    <n v="48110"/>
    <n v="192440"/>
    <n v="36435"/>
    <s v="LEAD1328"/>
    <n v="2027"/>
  </r>
  <r>
    <s v="2027-03-03"/>
    <x v="2"/>
    <s v="ORD0427"/>
    <x v="0"/>
    <s v="Karnataka"/>
    <s v="Mumbai"/>
    <x v="3"/>
    <s v="Sales_9"/>
    <s v="Amazon"/>
    <x v="0"/>
    <x v="2"/>
    <x v="7"/>
    <n v="5"/>
    <n v="11674"/>
    <n v="58370"/>
    <n v="120076"/>
    <s v="LEAD1110"/>
    <n v="2027"/>
  </r>
  <r>
    <s v="2027-03-04"/>
    <x v="2"/>
    <s v="ORD0428"/>
    <x v="3"/>
    <s v="Maharashtra"/>
    <s v="Bangalore"/>
    <x v="1"/>
    <s v="Sales_4"/>
    <s v="Website"/>
    <x v="2"/>
    <x v="3"/>
    <x v="4"/>
    <n v="3"/>
    <n v="26069"/>
    <n v="78207"/>
    <n v="89563"/>
    <s v="LEAD1398"/>
    <n v="2027"/>
  </r>
  <r>
    <s v="2027-03-05"/>
    <x v="2"/>
    <s v="ORD0429"/>
    <x v="3"/>
    <s v="Maharashtra"/>
    <s v="Delhi"/>
    <x v="2"/>
    <s v="Sales_26"/>
    <s v="WhatsApp"/>
    <x v="1"/>
    <x v="1"/>
    <x v="7"/>
    <n v="8"/>
    <n v="3029"/>
    <n v="24232"/>
    <n v="101502"/>
    <s v="LEAD2430"/>
    <n v="2027"/>
  </r>
  <r>
    <s v="2027-03-06"/>
    <x v="2"/>
    <s v="ORD0430"/>
    <x v="1"/>
    <s v="West Bengal"/>
    <s v="Delhi"/>
    <x v="5"/>
    <s v="Sales_14"/>
    <s v="Website"/>
    <x v="2"/>
    <x v="0"/>
    <x v="5"/>
    <n v="5"/>
    <n v="14980"/>
    <n v="74900"/>
    <n v="125747"/>
    <s v="LEAD2239"/>
    <n v="2027"/>
  </r>
  <r>
    <s v="2027-03-07"/>
    <x v="2"/>
    <s v="ORD0431"/>
    <x v="3"/>
    <s v="Karnataka"/>
    <s v="Mumbai"/>
    <x v="2"/>
    <s v="Sales_30"/>
    <s v="Retail Store"/>
    <x v="0"/>
    <x v="2"/>
    <x v="4"/>
    <n v="5"/>
    <n v="30666"/>
    <n v="153330"/>
    <n v="132645"/>
    <s v="LEAD3279"/>
    <n v="2027"/>
  </r>
  <r>
    <s v="2027-03-08"/>
    <x v="2"/>
    <s v="ORD0432"/>
    <x v="2"/>
    <s v="Maharashtra"/>
    <s v="Delhi"/>
    <x v="0"/>
    <s v="Sales_12"/>
    <s v="WhatsApp"/>
    <x v="1"/>
    <x v="2"/>
    <x v="1"/>
    <n v="9"/>
    <n v="26293"/>
    <n v="236637"/>
    <n v="102115"/>
    <s v="LEAD2542"/>
    <n v="2027"/>
  </r>
  <r>
    <s v="2027-03-09"/>
    <x v="2"/>
    <s v="ORD0433"/>
    <x v="2"/>
    <s v="Gujarat"/>
    <s v="Ahmedabad"/>
    <x v="6"/>
    <s v="Sales_11"/>
    <s v="WhatsApp"/>
    <x v="0"/>
    <x v="3"/>
    <x v="4"/>
    <n v="1"/>
    <n v="42952"/>
    <n v="42952"/>
    <n v="125738"/>
    <s v="LEAD2697"/>
    <n v="2027"/>
  </r>
  <r>
    <s v="2027-03-10"/>
    <x v="2"/>
    <s v="ORD0434"/>
    <x v="3"/>
    <s v="Delhi"/>
    <s v="Chennai"/>
    <x v="7"/>
    <s v="Sales_18"/>
    <s v="Retail Store"/>
    <x v="0"/>
    <x v="3"/>
    <x v="1"/>
    <n v="8"/>
    <n v="37771"/>
    <n v="302168"/>
    <n v="113327"/>
    <s v="LEAD2859"/>
    <n v="2027"/>
  </r>
  <r>
    <s v="2027-03-11"/>
    <x v="2"/>
    <s v="ORD0435"/>
    <x v="2"/>
    <s v="Delhi"/>
    <s v="Mumbai"/>
    <x v="5"/>
    <s v="Sales_15"/>
    <s v="WhatsApp"/>
    <x v="2"/>
    <x v="1"/>
    <x v="6"/>
    <n v="4"/>
    <n v="40579"/>
    <n v="162316"/>
    <n v="130519"/>
    <s v="LEAD3322"/>
    <n v="2027"/>
  </r>
  <r>
    <s v="2027-03-12"/>
    <x v="2"/>
    <s v="ORD0436"/>
    <x v="1"/>
    <s v="Delhi"/>
    <s v="Bangalore"/>
    <x v="2"/>
    <s v="Sales_6"/>
    <s v="Website"/>
    <x v="1"/>
    <x v="3"/>
    <x v="4"/>
    <n v="6"/>
    <n v="29697"/>
    <n v="178182"/>
    <n v="126534"/>
    <s v="LEAD3624"/>
    <n v="2027"/>
  </r>
  <r>
    <s v="2027-03-13"/>
    <x v="2"/>
    <s v="ORD0437"/>
    <x v="0"/>
    <s v="Karnataka"/>
    <s v="Ahmedabad"/>
    <x v="4"/>
    <s v="Sales_26"/>
    <s v="Website"/>
    <x v="1"/>
    <x v="3"/>
    <x v="1"/>
    <n v="6"/>
    <n v="30412"/>
    <n v="182472"/>
    <n v="100688"/>
    <s v="LEAD1879"/>
    <n v="2027"/>
  </r>
  <r>
    <s v="2027-03-14"/>
    <x v="2"/>
    <s v="ORD0438"/>
    <x v="1"/>
    <s v="Tamil Nadu"/>
    <s v="Mumbai"/>
    <x v="1"/>
    <s v="Sales_22"/>
    <s v="Website"/>
    <x v="1"/>
    <x v="2"/>
    <x v="5"/>
    <n v="7"/>
    <n v="27615"/>
    <n v="193305"/>
    <n v="50761"/>
    <s v="LEAD4063"/>
    <n v="2027"/>
  </r>
  <r>
    <s v="2027-03-15"/>
    <x v="2"/>
    <s v="ORD0439"/>
    <x v="0"/>
    <s v="Tamil Nadu"/>
    <s v="Chennai"/>
    <x v="3"/>
    <s v="Sales_27"/>
    <s v="WhatsApp"/>
    <x v="0"/>
    <x v="3"/>
    <x v="1"/>
    <n v="6"/>
    <n v="26950"/>
    <n v="161700"/>
    <n v="146273"/>
    <s v="LEAD1100"/>
    <n v="2027"/>
  </r>
  <r>
    <s v="2027-03-16"/>
    <x v="2"/>
    <s v="ORD0440"/>
    <x v="0"/>
    <s v="West Bengal"/>
    <s v="Chennai"/>
    <x v="4"/>
    <s v="Sales_10"/>
    <s v="Website"/>
    <x v="0"/>
    <x v="2"/>
    <x v="4"/>
    <n v="9"/>
    <n v="31273"/>
    <n v="281457"/>
    <n v="68828"/>
    <s v="LEAD4314"/>
    <n v="2027"/>
  </r>
  <r>
    <s v="2027-03-17"/>
    <x v="2"/>
    <s v="ORD0441"/>
    <x v="2"/>
    <s v="Gujarat"/>
    <s v="Kolkata"/>
    <x v="6"/>
    <s v="Sales_2"/>
    <s v="Amazon"/>
    <x v="1"/>
    <x v="2"/>
    <x v="1"/>
    <n v="8"/>
    <n v="24063"/>
    <n v="192504"/>
    <n v="97532"/>
    <s v="LEAD3706"/>
    <n v="2027"/>
  </r>
  <r>
    <s v="2027-03-18"/>
    <x v="2"/>
    <s v="ORD0442"/>
    <x v="2"/>
    <s v="Delhi"/>
    <s v="Mumbai"/>
    <x v="4"/>
    <s v="Sales_27"/>
    <s v="WhatsApp"/>
    <x v="2"/>
    <x v="1"/>
    <x v="5"/>
    <n v="1"/>
    <n v="30751"/>
    <n v="30751"/>
    <n v="120786"/>
    <s v="LEAD4383"/>
    <n v="2027"/>
  </r>
  <r>
    <s v="2027-03-19"/>
    <x v="2"/>
    <s v="ORD0443"/>
    <x v="0"/>
    <s v="Karnataka"/>
    <s v="Ahmedabad"/>
    <x v="6"/>
    <s v="Sales_26"/>
    <s v="Amazon"/>
    <x v="1"/>
    <x v="2"/>
    <x v="1"/>
    <n v="9"/>
    <n v="29737"/>
    <n v="267633"/>
    <n v="39768"/>
    <s v="LEAD2702"/>
    <n v="2027"/>
  </r>
  <r>
    <s v="2027-03-20"/>
    <x v="2"/>
    <s v="ORD0444"/>
    <x v="3"/>
    <s v="Gujarat"/>
    <s v="Mumbai"/>
    <x v="7"/>
    <s v="Sales_20"/>
    <s v="Website"/>
    <x v="2"/>
    <x v="2"/>
    <x v="4"/>
    <n v="5"/>
    <n v="28923"/>
    <n v="144615"/>
    <n v="105165"/>
    <s v="LEAD1281"/>
    <n v="2027"/>
  </r>
  <r>
    <s v="2027-03-21"/>
    <x v="2"/>
    <s v="ORD0445"/>
    <x v="1"/>
    <s v="West Bengal"/>
    <s v="Chennai"/>
    <x v="0"/>
    <s v="Sales_24"/>
    <s v="Retail Store"/>
    <x v="1"/>
    <x v="1"/>
    <x v="0"/>
    <n v="3"/>
    <n v="29477"/>
    <n v="88431"/>
    <n v="39692"/>
    <s v="LEAD1420"/>
    <n v="2027"/>
  </r>
  <r>
    <s v="2027-03-22"/>
    <x v="2"/>
    <s v="ORD0446"/>
    <x v="3"/>
    <s v="Karnataka"/>
    <s v="Bangalore"/>
    <x v="4"/>
    <s v="Sales_28"/>
    <s v="Retail Store"/>
    <x v="2"/>
    <x v="0"/>
    <x v="5"/>
    <n v="9"/>
    <n v="11167"/>
    <n v="100503"/>
    <n v="49857"/>
    <s v="LEAD1932"/>
    <n v="2027"/>
  </r>
  <r>
    <s v="2027-03-23"/>
    <x v="2"/>
    <s v="ORD0447"/>
    <x v="1"/>
    <s v="Gujarat"/>
    <s v="Bangalore"/>
    <x v="0"/>
    <s v="Sales_22"/>
    <s v="Retail Store"/>
    <x v="2"/>
    <x v="0"/>
    <x v="4"/>
    <n v="5"/>
    <n v="30240"/>
    <n v="151200"/>
    <n v="36015"/>
    <s v="LEAD2917"/>
    <n v="2027"/>
  </r>
  <r>
    <s v="2027-03-24"/>
    <x v="2"/>
    <s v="ORD0448"/>
    <x v="3"/>
    <s v="West Bengal"/>
    <s v="Bangalore"/>
    <x v="0"/>
    <s v="Sales_26"/>
    <s v="Website"/>
    <x v="0"/>
    <x v="1"/>
    <x v="6"/>
    <n v="4"/>
    <n v="22755"/>
    <n v="91020"/>
    <n v="10626"/>
    <s v="LEAD2891"/>
    <n v="2027"/>
  </r>
  <r>
    <s v="2027-03-25"/>
    <x v="2"/>
    <s v="ORD0449"/>
    <x v="2"/>
    <s v="Tamil Nadu"/>
    <s v="Ahmedabad"/>
    <x v="4"/>
    <s v="Sales_25"/>
    <s v="Website"/>
    <x v="1"/>
    <x v="3"/>
    <x v="3"/>
    <n v="7"/>
    <n v="49158"/>
    <n v="344106"/>
    <n v="121210"/>
    <s v="LEAD3142"/>
    <n v="2027"/>
  </r>
  <r>
    <s v="2027-03-26"/>
    <x v="2"/>
    <s v="ORD0450"/>
    <x v="0"/>
    <s v="West Bengal"/>
    <s v="Bangalore"/>
    <x v="6"/>
    <s v="Sales_9"/>
    <s v="WhatsApp"/>
    <x v="2"/>
    <x v="2"/>
    <x v="3"/>
    <n v="1"/>
    <n v="48117"/>
    <n v="48117"/>
    <n v="42315"/>
    <s v="LEAD4191"/>
    <n v="2027"/>
  </r>
  <r>
    <s v="2027-03-27"/>
    <x v="2"/>
    <s v="ORD0451"/>
    <x v="0"/>
    <s v="Delhi"/>
    <s v="Chennai"/>
    <x v="3"/>
    <s v="Sales_3"/>
    <s v="Retail Store"/>
    <x v="2"/>
    <x v="1"/>
    <x v="7"/>
    <n v="7"/>
    <n v="35827"/>
    <n v="250789"/>
    <n v="75322"/>
    <s v="LEAD2076"/>
    <n v="2027"/>
  </r>
  <r>
    <s v="2027-03-28"/>
    <x v="2"/>
    <s v="ORD0452"/>
    <x v="2"/>
    <s v="Maharashtra"/>
    <s v="Ahmedabad"/>
    <x v="6"/>
    <s v="Sales_4"/>
    <s v="Retail Store"/>
    <x v="2"/>
    <x v="0"/>
    <x v="3"/>
    <n v="8"/>
    <n v="6020"/>
    <n v="48160"/>
    <n v="112867"/>
    <s v="LEAD2350"/>
    <n v="2027"/>
  </r>
  <r>
    <s v="2027-03-29"/>
    <x v="2"/>
    <s v="ORD0453"/>
    <x v="2"/>
    <s v="Gujarat"/>
    <s v="Delhi"/>
    <x v="3"/>
    <s v="Sales_14"/>
    <s v="WhatsApp"/>
    <x v="0"/>
    <x v="2"/>
    <x v="3"/>
    <n v="7"/>
    <n v="25681"/>
    <n v="179767"/>
    <n v="60581"/>
    <s v="LEAD4928"/>
    <n v="2027"/>
  </r>
  <r>
    <s v="2027-03-30"/>
    <x v="2"/>
    <s v="ORD0454"/>
    <x v="1"/>
    <s v="West Bengal"/>
    <s v="Ahmedabad"/>
    <x v="5"/>
    <s v="Sales_23"/>
    <s v="WhatsApp"/>
    <x v="0"/>
    <x v="3"/>
    <x v="1"/>
    <n v="2"/>
    <n v="12593"/>
    <n v="25186"/>
    <n v="82038"/>
    <s v="LEAD1610"/>
    <n v="2027"/>
  </r>
  <r>
    <s v="2027-03-31"/>
    <x v="2"/>
    <s v="ORD0455"/>
    <x v="1"/>
    <s v="Karnataka"/>
    <s v="Mumbai"/>
    <x v="3"/>
    <s v="Sales_5"/>
    <s v="Amazon"/>
    <x v="2"/>
    <x v="1"/>
    <x v="6"/>
    <n v="8"/>
    <n v="4704"/>
    <n v="37632"/>
    <n v="85157"/>
    <s v="LEAD4740"/>
    <n v="2027"/>
  </r>
  <r>
    <s v="2027-04-01"/>
    <x v="3"/>
    <s v="ORD0456"/>
    <x v="3"/>
    <s v="Delhi"/>
    <s v="Mumbai"/>
    <x v="7"/>
    <s v="Sales_12"/>
    <s v="WhatsApp"/>
    <x v="2"/>
    <x v="0"/>
    <x v="1"/>
    <n v="1"/>
    <n v="32184"/>
    <n v="32184"/>
    <n v="49603"/>
    <s v="LEAD4276"/>
    <n v="2027"/>
  </r>
  <r>
    <s v="2027-04-02"/>
    <x v="3"/>
    <s v="ORD0457"/>
    <x v="0"/>
    <s v="Gujarat"/>
    <s v="Mumbai"/>
    <x v="4"/>
    <s v="Sales_27"/>
    <s v="Website"/>
    <x v="1"/>
    <x v="1"/>
    <x v="5"/>
    <n v="8"/>
    <n v="43980"/>
    <n v="351840"/>
    <n v="137781"/>
    <s v="LEAD3058"/>
    <n v="2027"/>
  </r>
  <r>
    <s v="2027-04-03"/>
    <x v="3"/>
    <s v="ORD0458"/>
    <x v="2"/>
    <s v="Karnataka"/>
    <s v="Chennai"/>
    <x v="7"/>
    <s v="Sales_15"/>
    <s v="Website"/>
    <x v="2"/>
    <x v="3"/>
    <x v="3"/>
    <n v="6"/>
    <n v="49551"/>
    <n v="297306"/>
    <n v="132109"/>
    <s v="LEAD4286"/>
    <n v="2027"/>
  </r>
  <r>
    <s v="2027-04-04"/>
    <x v="3"/>
    <s v="ORD0459"/>
    <x v="3"/>
    <s v="Delhi"/>
    <s v="Mumbai"/>
    <x v="7"/>
    <s v="Sales_27"/>
    <s v="Retail Store"/>
    <x v="0"/>
    <x v="2"/>
    <x v="0"/>
    <n v="3"/>
    <n v="27922"/>
    <n v="83766"/>
    <n v="127611"/>
    <s v="LEAD2897"/>
    <n v="2027"/>
  </r>
  <r>
    <s v="2027-04-05"/>
    <x v="3"/>
    <s v="ORD0460"/>
    <x v="0"/>
    <s v="Gujarat"/>
    <s v="Mumbai"/>
    <x v="6"/>
    <s v="Sales_17"/>
    <s v="Amazon"/>
    <x v="2"/>
    <x v="0"/>
    <x v="5"/>
    <n v="3"/>
    <n v="22261"/>
    <n v="66783"/>
    <n v="113035"/>
    <s v="LEAD2128"/>
    <n v="2027"/>
  </r>
  <r>
    <s v="2027-04-06"/>
    <x v="3"/>
    <s v="ORD0461"/>
    <x v="0"/>
    <s v="Delhi"/>
    <s v="Kolkata"/>
    <x v="2"/>
    <s v="Sales_1"/>
    <s v="Amazon"/>
    <x v="1"/>
    <x v="2"/>
    <x v="4"/>
    <n v="5"/>
    <n v="41842"/>
    <n v="209210"/>
    <n v="121392"/>
    <s v="LEAD4613"/>
    <n v="2027"/>
  </r>
  <r>
    <s v="2027-04-07"/>
    <x v="3"/>
    <s v="ORD0462"/>
    <x v="1"/>
    <s v="Gujarat"/>
    <s v="Bangalore"/>
    <x v="5"/>
    <s v="Sales_2"/>
    <s v="Website"/>
    <x v="0"/>
    <x v="2"/>
    <x v="3"/>
    <n v="8"/>
    <n v="10575"/>
    <n v="84600"/>
    <n v="83648"/>
    <s v="LEAD4778"/>
    <n v="2027"/>
  </r>
  <r>
    <s v="2027-04-08"/>
    <x v="3"/>
    <s v="ORD0463"/>
    <x v="3"/>
    <s v="Delhi"/>
    <s v="Delhi"/>
    <x v="6"/>
    <s v="Sales_21"/>
    <s v="Website"/>
    <x v="2"/>
    <x v="0"/>
    <x v="5"/>
    <n v="9"/>
    <n v="7769"/>
    <n v="69921"/>
    <n v="88759"/>
    <s v="LEAD1657"/>
    <n v="2027"/>
  </r>
  <r>
    <s v="2027-04-09"/>
    <x v="3"/>
    <s v="ORD0464"/>
    <x v="0"/>
    <s v="Maharashtra"/>
    <s v="Kolkata"/>
    <x v="1"/>
    <s v="Sales_4"/>
    <s v="Amazon"/>
    <x v="0"/>
    <x v="3"/>
    <x v="6"/>
    <n v="3"/>
    <n v="14523"/>
    <n v="43569"/>
    <n v="25413"/>
    <s v="LEAD1463"/>
    <n v="2027"/>
  </r>
  <r>
    <s v="2027-04-10"/>
    <x v="3"/>
    <s v="ORD0465"/>
    <x v="1"/>
    <s v="Delhi"/>
    <s v="Mumbai"/>
    <x v="5"/>
    <s v="Sales_15"/>
    <s v="WhatsApp"/>
    <x v="1"/>
    <x v="0"/>
    <x v="0"/>
    <n v="1"/>
    <n v="27883"/>
    <n v="27883"/>
    <n v="72373"/>
    <s v="LEAD4559"/>
    <n v="2027"/>
  </r>
  <r>
    <s v="2027-04-11"/>
    <x v="3"/>
    <s v="ORD0466"/>
    <x v="2"/>
    <s v="Maharashtra"/>
    <s v="Kolkata"/>
    <x v="4"/>
    <s v="Sales_21"/>
    <s v="Retail Store"/>
    <x v="0"/>
    <x v="2"/>
    <x v="1"/>
    <n v="5"/>
    <n v="28749"/>
    <n v="143745"/>
    <n v="76467"/>
    <s v="LEAD1662"/>
    <n v="2027"/>
  </r>
  <r>
    <s v="2027-04-12"/>
    <x v="3"/>
    <s v="ORD0467"/>
    <x v="1"/>
    <s v="Delhi"/>
    <s v="Mumbai"/>
    <x v="0"/>
    <s v="Sales_29"/>
    <s v="Website"/>
    <x v="2"/>
    <x v="2"/>
    <x v="2"/>
    <n v="4"/>
    <n v="38150"/>
    <n v="152600"/>
    <n v="85912"/>
    <s v="LEAD1480"/>
    <n v="2027"/>
  </r>
  <r>
    <s v="2027-04-13"/>
    <x v="3"/>
    <s v="ORD0468"/>
    <x v="3"/>
    <s v="Delhi"/>
    <s v="Bangalore"/>
    <x v="6"/>
    <s v="Sales_18"/>
    <s v="Retail Store"/>
    <x v="1"/>
    <x v="3"/>
    <x v="6"/>
    <n v="3"/>
    <n v="25399"/>
    <n v="76197"/>
    <n v="64866"/>
    <s v="LEAD1224"/>
    <n v="2027"/>
  </r>
  <r>
    <s v="2027-04-14"/>
    <x v="3"/>
    <s v="ORD0469"/>
    <x v="2"/>
    <s v="Maharashtra"/>
    <s v="Chennai"/>
    <x v="7"/>
    <s v="Sales_25"/>
    <s v="Retail Store"/>
    <x v="0"/>
    <x v="1"/>
    <x v="6"/>
    <n v="2"/>
    <n v="34925"/>
    <n v="69850"/>
    <n v="35727"/>
    <s v="LEAD2905"/>
    <n v="2027"/>
  </r>
  <r>
    <s v="2027-04-15"/>
    <x v="3"/>
    <s v="ORD0470"/>
    <x v="2"/>
    <s v="Gujarat"/>
    <s v="Kolkata"/>
    <x v="1"/>
    <s v="Sales_9"/>
    <s v="Website"/>
    <x v="1"/>
    <x v="2"/>
    <x v="6"/>
    <n v="4"/>
    <n v="7786"/>
    <n v="31144"/>
    <n v="113601"/>
    <s v="LEAD1088"/>
    <n v="2027"/>
  </r>
  <r>
    <s v="2027-04-16"/>
    <x v="3"/>
    <s v="ORD0471"/>
    <x v="1"/>
    <s v="Delhi"/>
    <s v="Delhi"/>
    <x v="7"/>
    <s v="Sales_16"/>
    <s v="Amazon"/>
    <x v="2"/>
    <x v="0"/>
    <x v="4"/>
    <n v="7"/>
    <n v="39644"/>
    <n v="277508"/>
    <n v="117974"/>
    <s v="LEAD4316"/>
    <n v="2027"/>
  </r>
  <r>
    <s v="2027-04-17"/>
    <x v="3"/>
    <s v="ORD0472"/>
    <x v="0"/>
    <s v="West Bengal"/>
    <s v="Delhi"/>
    <x v="2"/>
    <s v="Sales_24"/>
    <s v="WhatsApp"/>
    <x v="2"/>
    <x v="1"/>
    <x v="3"/>
    <n v="8"/>
    <n v="11350"/>
    <n v="90800"/>
    <n v="132416"/>
    <s v="LEAD3384"/>
    <n v="2027"/>
  </r>
  <r>
    <s v="2027-04-18"/>
    <x v="3"/>
    <s v="ORD0473"/>
    <x v="1"/>
    <s v="West Bengal"/>
    <s v="Mumbai"/>
    <x v="1"/>
    <s v="Sales_30"/>
    <s v="Amazon"/>
    <x v="2"/>
    <x v="0"/>
    <x v="0"/>
    <n v="2"/>
    <n v="35762"/>
    <n v="71524"/>
    <n v="60426"/>
    <s v="LEAD1288"/>
    <n v="2027"/>
  </r>
  <r>
    <s v="2027-04-19"/>
    <x v="3"/>
    <s v="ORD0474"/>
    <x v="3"/>
    <s v="West Bengal"/>
    <s v="Mumbai"/>
    <x v="6"/>
    <s v="Sales_18"/>
    <s v="Website"/>
    <x v="0"/>
    <x v="2"/>
    <x v="7"/>
    <n v="6"/>
    <n v="35362"/>
    <n v="212172"/>
    <n v="32711"/>
    <s v="LEAD4324"/>
    <n v="2027"/>
  </r>
  <r>
    <s v="2027-04-20"/>
    <x v="3"/>
    <s v="ORD0475"/>
    <x v="2"/>
    <s v="Karnataka"/>
    <s v="Bangalore"/>
    <x v="1"/>
    <s v="Sales_10"/>
    <s v="Retail Store"/>
    <x v="0"/>
    <x v="0"/>
    <x v="5"/>
    <n v="4"/>
    <n v="47843"/>
    <n v="191372"/>
    <n v="22294"/>
    <s v="LEAD1096"/>
    <n v="2027"/>
  </r>
  <r>
    <s v="2027-04-21"/>
    <x v="3"/>
    <s v="ORD0476"/>
    <x v="1"/>
    <s v="Tamil Nadu"/>
    <s v="Chennai"/>
    <x v="0"/>
    <s v="Sales_7"/>
    <s v="Retail Store"/>
    <x v="1"/>
    <x v="1"/>
    <x v="1"/>
    <n v="8"/>
    <n v="20319"/>
    <n v="162552"/>
    <n v="111976"/>
    <s v="LEAD4096"/>
    <n v="2027"/>
  </r>
  <r>
    <s v="2027-04-22"/>
    <x v="3"/>
    <s v="ORD0477"/>
    <x v="3"/>
    <s v="Maharashtra"/>
    <s v="Kolkata"/>
    <x v="5"/>
    <s v="Sales_20"/>
    <s v="Website"/>
    <x v="1"/>
    <x v="2"/>
    <x v="0"/>
    <n v="4"/>
    <n v="48525"/>
    <n v="194100"/>
    <n v="45802"/>
    <s v="LEAD2468"/>
    <n v="2027"/>
  </r>
  <r>
    <s v="2027-04-23"/>
    <x v="3"/>
    <s v="ORD0478"/>
    <x v="1"/>
    <s v="Delhi"/>
    <s v="Ahmedabad"/>
    <x v="5"/>
    <s v="Sales_16"/>
    <s v="Retail Store"/>
    <x v="0"/>
    <x v="1"/>
    <x v="2"/>
    <n v="8"/>
    <n v="30060"/>
    <n v="240480"/>
    <n v="116341"/>
    <s v="LEAD3930"/>
    <n v="2027"/>
  </r>
  <r>
    <s v="2027-04-24"/>
    <x v="3"/>
    <s v="ORD0479"/>
    <x v="3"/>
    <s v="West Bengal"/>
    <s v="Kolkata"/>
    <x v="2"/>
    <s v="Sales_26"/>
    <s v="WhatsApp"/>
    <x v="2"/>
    <x v="1"/>
    <x v="0"/>
    <n v="2"/>
    <n v="46480"/>
    <n v="92960"/>
    <n v="145028"/>
    <s v="LEAD4567"/>
    <n v="2027"/>
  </r>
  <r>
    <s v="2027-04-25"/>
    <x v="3"/>
    <s v="ORD0480"/>
    <x v="0"/>
    <s v="Delhi"/>
    <s v="Delhi"/>
    <x v="0"/>
    <s v="Sales_15"/>
    <s v="Amazon"/>
    <x v="0"/>
    <x v="3"/>
    <x v="2"/>
    <n v="5"/>
    <n v="49375"/>
    <n v="246875"/>
    <n v="134349"/>
    <s v="LEAD2435"/>
    <n v="2027"/>
  </r>
  <r>
    <s v="2027-04-26"/>
    <x v="3"/>
    <s v="ORD0481"/>
    <x v="2"/>
    <s v="Karnataka"/>
    <s v="Delhi"/>
    <x v="7"/>
    <s v="Sales_13"/>
    <s v="Amazon"/>
    <x v="2"/>
    <x v="3"/>
    <x v="3"/>
    <n v="4"/>
    <n v="20340"/>
    <n v="81360"/>
    <n v="128177"/>
    <s v="LEAD2576"/>
    <n v="2027"/>
  </r>
  <r>
    <s v="2027-04-27"/>
    <x v="3"/>
    <s v="ORD0482"/>
    <x v="1"/>
    <s v="Delhi"/>
    <s v="Kolkata"/>
    <x v="0"/>
    <s v="Sales_23"/>
    <s v="Amazon"/>
    <x v="1"/>
    <x v="0"/>
    <x v="3"/>
    <n v="4"/>
    <n v="17310"/>
    <n v="69240"/>
    <n v="101350"/>
    <s v="LEAD2827"/>
    <n v="2027"/>
  </r>
  <r>
    <s v="2027-04-28"/>
    <x v="3"/>
    <s v="ORD0483"/>
    <x v="2"/>
    <s v="West Bengal"/>
    <s v="Ahmedabad"/>
    <x v="1"/>
    <s v="Sales_23"/>
    <s v="Website"/>
    <x v="0"/>
    <x v="0"/>
    <x v="2"/>
    <n v="1"/>
    <n v="36990"/>
    <n v="36990"/>
    <n v="86797"/>
    <s v="LEAD4117"/>
    <n v="2027"/>
  </r>
  <r>
    <s v="2027-04-29"/>
    <x v="3"/>
    <s v="ORD0484"/>
    <x v="3"/>
    <s v="Tamil Nadu"/>
    <s v="Delhi"/>
    <x v="7"/>
    <s v="Sales_12"/>
    <s v="Website"/>
    <x v="1"/>
    <x v="3"/>
    <x v="4"/>
    <n v="5"/>
    <n v="1552"/>
    <n v="7760"/>
    <n v="95839"/>
    <s v="LEAD2942"/>
    <n v="2027"/>
  </r>
  <r>
    <s v="2027-04-30"/>
    <x v="3"/>
    <s v="ORD0485"/>
    <x v="2"/>
    <s v="West Bengal"/>
    <s v="Mumbai"/>
    <x v="2"/>
    <s v="Sales_21"/>
    <s v="Website"/>
    <x v="0"/>
    <x v="1"/>
    <x v="4"/>
    <n v="1"/>
    <n v="37181"/>
    <n v="37181"/>
    <n v="87206"/>
    <s v="LEAD1704"/>
    <n v="2027"/>
  </r>
  <r>
    <s v="2027-05-01"/>
    <x v="4"/>
    <s v="ORD0486"/>
    <x v="3"/>
    <s v="Karnataka"/>
    <s v="Ahmedabad"/>
    <x v="6"/>
    <s v="Sales_30"/>
    <s v="Amazon"/>
    <x v="2"/>
    <x v="1"/>
    <x v="7"/>
    <n v="5"/>
    <n v="46937"/>
    <n v="234685"/>
    <n v="110360"/>
    <s v="LEAD4664"/>
    <n v="2027"/>
  </r>
  <r>
    <s v="2027-05-02"/>
    <x v="4"/>
    <s v="ORD0487"/>
    <x v="3"/>
    <s v="Maharashtra"/>
    <s v="Mumbai"/>
    <x v="1"/>
    <s v="Sales_27"/>
    <s v="Amazon"/>
    <x v="1"/>
    <x v="1"/>
    <x v="3"/>
    <n v="1"/>
    <n v="49634"/>
    <n v="49634"/>
    <n v="103828"/>
    <s v="LEAD1268"/>
    <n v="2027"/>
  </r>
  <r>
    <s v="2027-05-03"/>
    <x v="4"/>
    <s v="ORD0488"/>
    <x v="3"/>
    <s v="Maharashtra"/>
    <s v="Mumbai"/>
    <x v="6"/>
    <s v="Sales_15"/>
    <s v="Retail Store"/>
    <x v="1"/>
    <x v="2"/>
    <x v="4"/>
    <n v="9"/>
    <n v="38875"/>
    <n v="349875"/>
    <n v="32550"/>
    <s v="LEAD3909"/>
    <n v="2027"/>
  </r>
  <r>
    <s v="2027-05-04"/>
    <x v="4"/>
    <s v="ORD0489"/>
    <x v="0"/>
    <s v="Delhi"/>
    <s v="Chennai"/>
    <x v="3"/>
    <s v="Sales_28"/>
    <s v="Website"/>
    <x v="2"/>
    <x v="3"/>
    <x v="3"/>
    <n v="10"/>
    <n v="37644"/>
    <n v="376440"/>
    <n v="147442"/>
    <s v="LEAD3245"/>
    <n v="2027"/>
  </r>
  <r>
    <s v="2027-05-05"/>
    <x v="4"/>
    <s v="ORD0490"/>
    <x v="1"/>
    <s v="West Bengal"/>
    <s v="Delhi"/>
    <x v="2"/>
    <s v="Sales_29"/>
    <s v="WhatsApp"/>
    <x v="2"/>
    <x v="2"/>
    <x v="4"/>
    <n v="9"/>
    <n v="46725"/>
    <n v="420525"/>
    <n v="58930"/>
    <s v="LEAD4826"/>
    <n v="2027"/>
  </r>
  <r>
    <s v="2027-05-06"/>
    <x v="4"/>
    <s v="ORD0491"/>
    <x v="3"/>
    <s v="Tamil Nadu"/>
    <s v="Kolkata"/>
    <x v="2"/>
    <s v="Sales_8"/>
    <s v="Retail Store"/>
    <x v="1"/>
    <x v="3"/>
    <x v="3"/>
    <n v="7"/>
    <n v="6070"/>
    <n v="42490"/>
    <n v="134776"/>
    <s v="LEAD3613"/>
    <n v="2027"/>
  </r>
  <r>
    <s v="2027-05-07"/>
    <x v="4"/>
    <s v="ORD0492"/>
    <x v="3"/>
    <s v="Gujarat"/>
    <s v="Chennai"/>
    <x v="5"/>
    <s v="Sales_14"/>
    <s v="WhatsApp"/>
    <x v="0"/>
    <x v="1"/>
    <x v="1"/>
    <n v="1"/>
    <n v="41346"/>
    <n v="41346"/>
    <n v="88281"/>
    <s v="LEAD4395"/>
    <n v="2027"/>
  </r>
  <r>
    <s v="2027-05-08"/>
    <x v="4"/>
    <s v="ORD0493"/>
    <x v="0"/>
    <s v="Delhi"/>
    <s v="Bangalore"/>
    <x v="2"/>
    <s v="Sales_8"/>
    <s v="WhatsApp"/>
    <x v="0"/>
    <x v="1"/>
    <x v="1"/>
    <n v="1"/>
    <n v="39773"/>
    <n v="39773"/>
    <n v="35477"/>
    <s v="LEAD1132"/>
    <n v="2027"/>
  </r>
  <r>
    <s v="2027-05-09"/>
    <x v="4"/>
    <s v="ORD0494"/>
    <x v="3"/>
    <s v="West Bengal"/>
    <s v="Ahmedabad"/>
    <x v="7"/>
    <s v="Sales_13"/>
    <s v="Website"/>
    <x v="0"/>
    <x v="2"/>
    <x v="7"/>
    <n v="5"/>
    <n v="38230"/>
    <n v="191150"/>
    <n v="106635"/>
    <s v="LEAD3084"/>
    <n v="2027"/>
  </r>
  <r>
    <s v="2027-05-10"/>
    <x v="4"/>
    <s v="ORD0495"/>
    <x v="0"/>
    <s v="Maharashtra"/>
    <s v="Bangalore"/>
    <x v="1"/>
    <s v="Sales_24"/>
    <s v="Retail Store"/>
    <x v="1"/>
    <x v="2"/>
    <x v="2"/>
    <n v="3"/>
    <n v="26221"/>
    <n v="78663"/>
    <n v="86006"/>
    <s v="LEAD2819"/>
    <n v="2027"/>
  </r>
  <r>
    <s v="2027-05-11"/>
    <x v="4"/>
    <s v="ORD0496"/>
    <x v="2"/>
    <s v="Maharashtra"/>
    <s v="Ahmedabad"/>
    <x v="5"/>
    <s v="Sales_26"/>
    <s v="Retail Store"/>
    <x v="1"/>
    <x v="1"/>
    <x v="5"/>
    <n v="2"/>
    <n v="21685"/>
    <n v="43370"/>
    <n v="110704"/>
    <s v="LEAD2988"/>
    <n v="2027"/>
  </r>
  <r>
    <s v="2027-05-12"/>
    <x v="4"/>
    <s v="ORD0497"/>
    <x v="2"/>
    <s v="Delhi"/>
    <s v="Delhi"/>
    <x v="3"/>
    <s v="Sales_17"/>
    <s v="WhatsApp"/>
    <x v="0"/>
    <x v="0"/>
    <x v="1"/>
    <n v="9"/>
    <n v="23525"/>
    <n v="211725"/>
    <n v="140915"/>
    <s v="LEAD3938"/>
    <n v="2027"/>
  </r>
  <r>
    <s v="2027-05-13"/>
    <x v="4"/>
    <s v="ORD0498"/>
    <x v="1"/>
    <s v="Tamil Nadu"/>
    <s v="Ahmedabad"/>
    <x v="5"/>
    <s v="Sales_3"/>
    <s v="Retail Store"/>
    <x v="0"/>
    <x v="3"/>
    <x v="7"/>
    <n v="5"/>
    <n v="38298"/>
    <n v="191490"/>
    <n v="92766"/>
    <s v="LEAD3542"/>
    <n v="2027"/>
  </r>
  <r>
    <s v="2027-05-14"/>
    <x v="4"/>
    <s v="ORD0499"/>
    <x v="2"/>
    <s v="Delhi"/>
    <s v="Kolkata"/>
    <x v="4"/>
    <s v="Sales_28"/>
    <s v="Website"/>
    <x v="1"/>
    <x v="2"/>
    <x v="2"/>
    <n v="6"/>
    <n v="36505"/>
    <n v="219030"/>
    <n v="142231"/>
    <s v="LEAD3710"/>
    <n v="2027"/>
  </r>
  <r>
    <s v="2027-05-15"/>
    <x v="4"/>
    <s v="ORD0500"/>
    <x v="3"/>
    <s v="Karnataka"/>
    <s v="Kolkata"/>
    <x v="2"/>
    <s v="Sales_29"/>
    <s v="WhatsApp"/>
    <x v="2"/>
    <x v="0"/>
    <x v="6"/>
    <n v="2"/>
    <n v="5799"/>
    <n v="11598"/>
    <n v="53188"/>
    <s v="LEAD1743"/>
    <n v="2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AE28F-BB94-4FCD-A833-187CE8369C6A}" name="pvtMonthly" cacheId="0" applyNumberFormats="0" applyBorderFormats="0" applyFontFormats="0" applyPatternFormats="0" applyAlignmentFormats="0" applyWidthHeightFormats="1" dataCaption="Values" updatedVersion="8" minRefreshableVersion="3" useAutoFormatting="1" itemPrintTitles="1" createdVersion="8" indent="0" showHeaders="0" compact="0" compactData="0" multipleFieldFilters="0" chartFormat="1">
  <location ref="A2:C15" firstHeaderRow="0" firstDataRow="1" firstDataCol="1"/>
  <pivotFields count="19">
    <pivotField compact="0" outline="0" showAll="0"/>
    <pivotField axis="axisRow" compact="0" outline="0" showAll="0">
      <items count="13">
        <item x="0"/>
        <item x="1"/>
        <item x="2"/>
        <item x="3"/>
        <item x="4"/>
        <item x="5"/>
        <item x="6"/>
        <item x="7"/>
        <item x="8"/>
        <item x="9"/>
        <item x="10"/>
        <item x="11"/>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1"/>
        <item x="2"/>
        <item x="0"/>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dragToRow="0" dragToCol="0" dragToPage="0" showAll="0" defaultSubtota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Total Sales" fld="14" baseField="0" baseItem="0" numFmtId="3"/>
    <dataField name="Total Target" fld="15" baseField="0" baseItem="0" numFmtId="3"/>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020ED4-747B-486B-9926-D4EEB98F6E29}" name="pvtSegment" cacheId="0" applyNumberFormats="0" applyBorderFormats="0" applyFontFormats="0" applyPatternFormats="0" applyAlignmentFormats="0" applyWidthHeightFormats="1" dataCaption="Values" updatedVersion="8" minRefreshableVersion="3" useAutoFormatting="1" itemPrintTitles="1" createdVersion="8" indent="0" showHeaders="0" compact="0" compactData="0" multipleFieldFilters="0">
  <location ref="F20:G24" firstHeaderRow="1" firstDataRow="1" firstDataCol="1"/>
  <pivotFields count="19">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4">
        <item x="0"/>
        <item x="2"/>
        <item x="1"/>
        <item t="default"/>
      </items>
    </pivotField>
    <pivotField compact="0" outline="0" showAll="0">
      <items count="5">
        <item x="3"/>
        <item x="1"/>
        <item x="2"/>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dragToRow="0" dragToCol="0" dragToPage="0" showAll="0" defaultSubtotal="0"/>
  </pivotFields>
  <rowFields count="1">
    <field x="9"/>
  </rowFields>
  <rowItems count="4">
    <i>
      <x/>
    </i>
    <i>
      <x v="1"/>
    </i>
    <i>
      <x v="2"/>
    </i>
    <i t="grand">
      <x/>
    </i>
  </rowItems>
  <colItems count="1">
    <i/>
  </colItems>
  <dataFields count="1">
    <dataField name="Sales by Segment" fld="14" baseField="0" baseItem="0" numFmtId="3"/>
  </dataField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D62C3D-AF34-422F-99AE-6325A0A6DC7B}" name="pvtCategory" cacheId="0" applyNumberFormats="0" applyBorderFormats="0" applyFontFormats="0" applyPatternFormats="0" applyAlignmentFormats="0" applyWidthHeightFormats="1" dataCaption="Values" updatedVersion="8" minRefreshableVersion="3" useAutoFormatting="1" itemPrintTitles="1" createdVersion="8" indent="0" showHeaders="0" compact="0" compactData="0" multipleFieldFilters="0" chartFormat="1">
  <location ref="F2:G7" firstHeaderRow="1" firstDataRow="1" firstDataCol="1"/>
  <pivotFields count="19">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3"/>
        <item x="1"/>
        <item x="2"/>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dragToRow="0" dragToCol="0" dragToPage="0" showAll="0" defaultSubtotal="0"/>
  </pivotFields>
  <rowFields count="1">
    <field x="10"/>
  </rowFields>
  <rowItems count="5">
    <i>
      <x/>
    </i>
    <i>
      <x v="1"/>
    </i>
    <i>
      <x v="2"/>
    </i>
    <i>
      <x v="3"/>
    </i>
    <i t="grand">
      <x/>
    </i>
  </rowItems>
  <colItems count="1">
    <i/>
  </colItems>
  <dataFields count="1">
    <dataField name="Sales by Category" fld="14" baseField="0" baseItem="0" numFmtId="3"/>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B084D3-72E4-4DEB-8A5D-51F067B8408D}" name="pvtManager" cacheId="0" applyNumberFormats="0" applyBorderFormats="0" applyFontFormats="0" applyPatternFormats="0" applyAlignmentFormats="0" applyWidthHeightFormats="1" dataCaption="Values" updatedVersion="8" minRefreshableVersion="3" useAutoFormatting="1" itemPrintTitles="1" createdVersion="8" indent="0" showHeaders="0" compact="0" compactData="0" multipleFieldFilters="0" chartFormat="1">
  <location ref="A35:B44" firstHeaderRow="1" firstDataRow="1" firstDataCol="1"/>
  <pivotFields count="19">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items count="5">
        <item x="2"/>
        <item x="3"/>
        <item x="0"/>
        <item x="1"/>
        <item t="default"/>
      </items>
    </pivotField>
    <pivotField compact="0" outline="0" showAll="0"/>
    <pivotField compact="0" outline="0" showAll="0"/>
    <pivotField axis="axisRow" compact="0" outline="0" showAll="0">
      <items count="9">
        <item x="0"/>
        <item x="2"/>
        <item x="4"/>
        <item x="6"/>
        <item x="1"/>
        <item x="3"/>
        <item x="5"/>
        <item x="7"/>
        <item t="default"/>
      </items>
    </pivotField>
    <pivotField compact="0" outline="0" showAll="0"/>
    <pivotField compact="0" outline="0" showAll="0"/>
    <pivotField compact="0" outline="0" showAll="0"/>
    <pivotField compact="0" outline="0" showAll="0">
      <items count="5">
        <item x="3"/>
        <item x="1"/>
        <item x="2"/>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dragToRow="0" dragToCol="0" dragToPage="0" showAll="0" defaultSubtotal="0"/>
  </pivotFields>
  <rowFields count="1">
    <field x="6"/>
  </rowFields>
  <rowItems count="9">
    <i>
      <x/>
    </i>
    <i>
      <x v="1"/>
    </i>
    <i>
      <x v="2"/>
    </i>
    <i>
      <x v="3"/>
    </i>
    <i>
      <x v="4"/>
    </i>
    <i>
      <x v="5"/>
    </i>
    <i>
      <x v="6"/>
    </i>
    <i>
      <x v="7"/>
    </i>
    <i t="grand">
      <x/>
    </i>
  </rowItems>
  <colItems count="1">
    <i/>
  </colItems>
  <dataFields count="1">
    <dataField name="Sales by Manager" fld="14"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C00899-5507-44FB-9959-CE235BB3A70E}" name="pvtRegion" cacheId="0" applyNumberFormats="0" applyBorderFormats="0" applyFontFormats="0" applyPatternFormats="0" applyAlignmentFormats="0" applyWidthHeightFormats="1" dataCaption="Values" updatedVersion="8" minRefreshableVersion="3" useAutoFormatting="1" itemPrintTitles="1" createdVersion="8" indent="0" showHeaders="0" compact="0" compactData="0" multipleFieldFilters="0" chartFormat="1">
  <location ref="A20:B25" firstHeaderRow="1" firstDataRow="1" firstDataCol="1"/>
  <pivotFields count="19">
    <pivotField compact="0" outline="0" showAll="0"/>
    <pivotField compact="0" outline="0" showAll="0">
      <items count="13">
        <item x="0"/>
        <item x="1"/>
        <item x="2"/>
        <item x="3"/>
        <item x="4"/>
        <item x="5"/>
        <item x="6"/>
        <item x="7"/>
        <item x="8"/>
        <item x="9"/>
        <item x="10"/>
        <item x="11"/>
        <item t="default"/>
      </items>
    </pivotField>
    <pivotField compact="0" outline="0" showAll="0"/>
    <pivotField axis="axisRow"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1"/>
        <item x="2"/>
        <item x="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dragToRow="0" dragToCol="0" dragToPage="0" showAll="0" defaultSubtotal="0"/>
  </pivotFields>
  <rowFields count="1">
    <field x="3"/>
  </rowFields>
  <rowItems count="5">
    <i>
      <x/>
    </i>
    <i>
      <x v="1"/>
    </i>
    <i>
      <x v="2"/>
    </i>
    <i>
      <x v="3"/>
    </i>
    <i t="grand">
      <x/>
    </i>
  </rowItems>
  <colItems count="1">
    <i/>
  </colItems>
  <dataFields count="1">
    <dataField name="Sales by Region" fld="14"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C38CBE-F4BE-433D-8D8C-F79B7DA4855B}" name="PT_KPI"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compact="0" compactData="0" multipleFieldFilters="0">
  <location ref="K5:L9" firstHeaderRow="0" firstDataRow="0" firstDataCol="1"/>
  <pivotFields count="19">
    <pivotField compact="0" outline="0" showAll="0"/>
    <pivotField compact="0" outline="0" showAll="0">
      <items count="13">
        <item x="0"/>
        <item x="1"/>
        <item x="2"/>
        <item x="3"/>
        <item x="4"/>
        <item x="5"/>
        <item x="6"/>
        <item x="7"/>
        <item x="8"/>
        <item x="9"/>
        <item x="10"/>
        <item x="11"/>
        <item t="default"/>
      </items>
    </pivotField>
    <pivotField dataField="1"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1"/>
        <item x="2"/>
        <item x="0"/>
        <item t="default"/>
      </items>
    </pivotField>
    <pivotField compact="0" outline="0" showAll="0"/>
    <pivotField dataField="1" compact="0" outline="0" showAll="0"/>
    <pivotField compact="0" outline="0" showAll="0"/>
    <pivotField dataField="1" compact="0" outline="0" showAll="0"/>
    <pivotField dataField="1" compact="0" outline="0" showAll="0"/>
    <pivotField compact="0" outline="0" showAll="0"/>
    <pivotField compact="0" outline="0" showAll="0"/>
    <pivotField dataField="1" compact="0" outline="0" dragToRow="0" dragToCol="0" dragToPage="0" showAll="0" defaultSubtotal="0"/>
  </pivotFields>
  <rowFields count="1">
    <field x="-2"/>
  </rowFields>
  <rowItems count="5">
    <i>
      <x/>
    </i>
    <i i="1">
      <x v="1"/>
    </i>
    <i i="2">
      <x v="2"/>
    </i>
    <i i="3">
      <x v="3"/>
    </i>
    <i i="4">
      <x v="4"/>
    </i>
  </rowItems>
  <colItems count="1">
    <i/>
  </colItems>
  <dataFields count="5">
    <dataField name="Total Sales" fld="14" baseField="0" baseItem="0" numFmtId="3"/>
    <dataField name="Total Target" fld="15" baseField="0" baseItem="0" numFmtId="3"/>
    <dataField name="Total Orders" fld="2" subtotal="count" baseField="0" baseItem="0" numFmtId="3"/>
    <dataField name="Sum of Achievement %" fld="18" baseField="0" baseItem="0" numFmtId="10"/>
    <dataField name="Sum of Units Sold" fld="12"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0CE311-9821-4C9D-BD25-2A35674C63E6}" name="pvtTopProducts" cacheId="0" applyNumberFormats="0" applyBorderFormats="0" applyFontFormats="0" applyPatternFormats="0" applyAlignmentFormats="0" applyWidthHeightFormats="1" dataCaption="Values" updatedVersion="8" minRefreshableVersion="3" useAutoFormatting="1" itemPrintTitles="1" createdVersion="8" indent="0" showHeaders="0" compact="0" compactData="0" multipleFieldFilters="0" chartFormat="1">
  <location ref="F35:G44" firstHeaderRow="1" firstDataRow="1" firstDataCol="1"/>
  <pivotFields count="19">
    <pivotField compact="0" outline="0" showAll="0"/>
    <pivotField compact="0" outline="0" showAll="0">
      <items count="13">
        <item x="0"/>
        <item x="1"/>
        <item x="2"/>
        <item x="3"/>
        <item x="4"/>
        <item x="5"/>
        <item x="6"/>
        <item x="7"/>
        <item x="8"/>
        <item x="9"/>
        <item x="10"/>
        <item x="11"/>
        <item t="default"/>
      </items>
    </pivotField>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1"/>
        <item x="2"/>
        <item x="0"/>
        <item t="default"/>
      </items>
    </pivotField>
    <pivotField axis="axisRow" compact="0" outline="0" showAll="0">
      <items count="9">
        <item x="2"/>
        <item x="0"/>
        <item x="3"/>
        <item x="4"/>
        <item x="1"/>
        <item x="5"/>
        <item x="7"/>
        <item x="6"/>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dragToRow="0" dragToCol="0" dragToPage="0" showAll="0" defaultSubtotal="0"/>
  </pivotFields>
  <rowFields count="1">
    <field x="11"/>
  </rowFields>
  <rowItems count="9">
    <i>
      <x/>
    </i>
    <i>
      <x v="1"/>
    </i>
    <i>
      <x v="2"/>
    </i>
    <i>
      <x v="3"/>
    </i>
    <i>
      <x v="4"/>
    </i>
    <i>
      <x v="5"/>
    </i>
    <i>
      <x v="6"/>
    </i>
    <i>
      <x v="7"/>
    </i>
    <i t="grand">
      <x/>
    </i>
  </rowItems>
  <colItems count="1">
    <i/>
  </colItems>
  <dataFields count="1">
    <dataField name="Top Product Sales" fld="14"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cRegion" xr10:uid="{5110C044-E434-49DC-A3A9-4BB49D907E92}" sourceName="Region">
  <pivotTables>
    <pivotTable tabId="2" name="pvtMonthly"/>
    <pivotTable tabId="2" name="pvtRegion"/>
    <pivotTable tabId="2" name="pvtManager"/>
    <pivotTable tabId="2" name="pvtCategory"/>
    <pivotTable tabId="2" name="pvtSegment"/>
    <pivotTable tabId="2" name="pvtTopProducts"/>
    <pivotTable tabId="2" name="PT_KPI"/>
  </pivotTables>
  <data>
    <tabular pivotCacheId="112052054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cCategory" xr10:uid="{705666AD-25C6-4DB0-97D5-4007853DF365}" sourceName="Product Category">
  <pivotTables>
    <pivotTable tabId="2" name="pvtMonthly"/>
    <pivotTable tabId="2" name="pvtRegion"/>
    <pivotTable tabId="2" name="pvtManager"/>
    <pivotTable tabId="2" name="pvtCategory"/>
    <pivotTable tabId="2" name="pvtSegment"/>
    <pivotTable tabId="2" name="pvtTopProducts"/>
    <pivotTable tabId="2" name="PT_KPI"/>
  </pivotTables>
  <data>
    <tabular pivotCacheId="1120520543">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cMonth" xr10:uid="{24A641CF-63D0-41F2-9C16-197E5E569A06}" sourceName="Month">
  <pivotTables>
    <pivotTable tabId="2" name="pvtMonthly"/>
    <pivotTable tabId="2" name="pvtRegion"/>
    <pivotTable tabId="2" name="pvtManager"/>
    <pivotTable tabId="2" name="pvtCategory"/>
    <pivotTable tabId="2" name="pvtSegment"/>
    <pivotTable tabId="2" name="pvtTopProducts"/>
    <pivotTable tabId="2" name="PT_KPI"/>
  </pivotTables>
  <data>
    <tabular pivotCacheId="1120520543">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Region_visual" xr10:uid="{2ACC48D0-48BE-4321-A4C6-8C85798A2107}" cache="slcRegion" caption="Region" columnCount="2" style="SlicerStyleDark4" rowHeight="254000"/>
  <slicer name="slcCategory_visual" xr10:uid="{CB38C323-E993-42EF-AAE7-28D2220235F1}" cache="slcCategory" caption="Product Category" startItem="1" style="SlicerStyleDark4" rowHeight="254000"/>
  <slicer name="slcMonth_visual" xr10:uid="{199CF05C-A1FE-44B4-98C7-A8E7B0190526}" cache="slcMonth" caption="Month" columnCount="2" style="SlicerStyleDark4" rowHeight="25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2122D-7852-4114-A832-B2D59A816CA5}" name="Table2" displayName="Table2" ref="A1:R501" totalsRowShown="0">
  <autoFilter ref="A1:R501" xr:uid="{94473587-281A-4AEF-BD12-898F31547F60}"/>
  <tableColumns count="18">
    <tableColumn id="1" xr3:uid="{F1C998F2-658D-4365-86A1-20FBA4AADE30}" name="Date"/>
    <tableColumn id="2" xr3:uid="{8D1D92B8-DA08-429D-8D62-F0D926CC53B7}" name="Month"/>
    <tableColumn id="3" xr3:uid="{3F7ACB25-D99A-4A9F-967F-047C975DBA90}" name="Order ID"/>
    <tableColumn id="4" xr3:uid="{FD0FED45-6A76-425B-B187-7CFD8F4EA2AE}" name="Region"/>
    <tableColumn id="5" xr3:uid="{D2B74D93-A929-43D2-B8C6-A641B604341C}" name="State"/>
    <tableColumn id="6" xr3:uid="{FA6693F9-7D78-40A3-9B3E-B74F40B2A05A}" name="City"/>
    <tableColumn id="7" xr3:uid="{C3AD582D-BCDE-4A66-8EA3-20DA31B0CABF}" name="Sales Manager"/>
    <tableColumn id="8" xr3:uid="{8A535B46-CA6F-40D7-B9F7-EE6098641C54}" name="Salesperson"/>
    <tableColumn id="9" xr3:uid="{001C2BD4-142D-4D0B-9916-317D5DC247A1}" name="Channel"/>
    <tableColumn id="10" xr3:uid="{E7EADB81-2A41-4F91-BDF9-A6734154091E}" name="Customer Segment"/>
    <tableColumn id="11" xr3:uid="{2DE15C36-4D80-4E7D-A723-D78D3D9CB86D}" name="Product Category"/>
    <tableColumn id="12" xr3:uid="{7A49D1B6-04C2-42D0-B41C-6F9BC2B179AB}" name="Product Name"/>
    <tableColumn id="13" xr3:uid="{8769776F-B10E-4059-9399-8829F97C892B}" name="Units Sold"/>
    <tableColumn id="14" xr3:uid="{D36220C1-5A8B-4B92-BC4B-9B35780FEB37}" name="Unit Price"/>
    <tableColumn id="15" xr3:uid="{003DEA49-2483-4EB8-991E-F7D50A78415F}" name="Sales Amount"/>
    <tableColumn id="16" xr3:uid="{3BD4716C-4992-4806-8983-DFCD92CCB015}" name="Target Sales"/>
    <tableColumn id="17" xr3:uid="{D70DB994-ECA2-4B5C-9894-EF98987EF04E}" name="Lead ID"/>
    <tableColumn id="18" xr3:uid="{593CF1DA-EDE1-49B8-AC51-93E24A45E411}" name="_Year_"/>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0CC4F-0211-4B92-A623-145C99E77BFB}">
  <dimension ref="A1:R501"/>
  <sheetViews>
    <sheetView topLeftCell="J7" zoomScale="71" zoomScaleNormal="100" workbookViewId="0">
      <selection activeCell="W32" sqref="W32"/>
    </sheetView>
  </sheetViews>
  <sheetFormatPr defaultRowHeight="14.4" x14ac:dyDescent="0.3"/>
  <cols>
    <col min="1" max="1" width="10.33203125" bestFit="1" customWidth="1"/>
    <col min="2" max="2" width="8" customWidth="1"/>
    <col min="3" max="3" width="9.77734375" customWidth="1"/>
    <col min="4" max="4" width="8.44140625" customWidth="1"/>
    <col min="5" max="5" width="11.21875" bestFit="1" customWidth="1"/>
    <col min="6" max="6" width="10.6640625" bestFit="1" customWidth="1"/>
    <col min="7" max="7" width="14.77734375" customWidth="1"/>
    <col min="8" max="8" width="13.109375" customWidth="1"/>
    <col min="9" max="9" width="10.109375" bestFit="1" customWidth="1"/>
    <col min="10" max="10" width="18.6640625" customWidth="1"/>
    <col min="11" max="11" width="17.109375" customWidth="1"/>
    <col min="12" max="12" width="14.77734375" customWidth="1"/>
    <col min="13" max="13" width="11.33203125" customWidth="1"/>
    <col min="14" max="14" width="11" customWidth="1"/>
    <col min="15" max="15" width="14.21875" customWidth="1"/>
    <col min="16" max="16" width="12.88671875" customWidth="1"/>
    <col min="17" max="17" width="9.21875" bestFit="1" customWidth="1"/>
    <col min="18" max="18" width="8.1093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t="s">
        <v>20</v>
      </c>
      <c r="D2" t="s">
        <v>21</v>
      </c>
      <c r="E2" t="s">
        <v>22</v>
      </c>
      <c r="F2" t="s">
        <v>23</v>
      </c>
      <c r="G2" t="s">
        <v>24</v>
      </c>
      <c r="H2" t="s">
        <v>25</v>
      </c>
      <c r="I2" t="s">
        <v>26</v>
      </c>
      <c r="J2" t="s">
        <v>27</v>
      </c>
      <c r="K2" t="s">
        <v>28</v>
      </c>
      <c r="L2" t="s">
        <v>29</v>
      </c>
      <c r="M2">
        <v>3</v>
      </c>
      <c r="N2">
        <v>43853</v>
      </c>
      <c r="O2">
        <v>131559</v>
      </c>
      <c r="P2">
        <v>139439</v>
      </c>
      <c r="Q2" t="s">
        <v>30</v>
      </c>
      <c r="R2">
        <v>2026</v>
      </c>
    </row>
    <row r="3" spans="1:18" x14ac:dyDescent="0.3">
      <c r="A3" t="s">
        <v>31</v>
      </c>
      <c r="B3" t="s">
        <v>19</v>
      </c>
      <c r="C3" t="s">
        <v>32</v>
      </c>
      <c r="D3" t="s">
        <v>33</v>
      </c>
      <c r="E3" t="s">
        <v>22</v>
      </c>
      <c r="F3" t="s">
        <v>34</v>
      </c>
      <c r="G3" t="s">
        <v>35</v>
      </c>
      <c r="H3" t="s">
        <v>36</v>
      </c>
      <c r="I3" t="s">
        <v>37</v>
      </c>
      <c r="J3" t="s">
        <v>27</v>
      </c>
      <c r="K3" t="s">
        <v>38</v>
      </c>
      <c r="L3" t="s">
        <v>39</v>
      </c>
      <c r="M3">
        <v>2</v>
      </c>
      <c r="N3">
        <v>29073</v>
      </c>
      <c r="O3">
        <v>58146</v>
      </c>
      <c r="P3">
        <v>50809</v>
      </c>
      <c r="Q3" t="s">
        <v>40</v>
      </c>
      <c r="R3">
        <v>2026</v>
      </c>
    </row>
    <row r="4" spans="1:18" x14ac:dyDescent="0.3">
      <c r="A4" t="s">
        <v>41</v>
      </c>
      <c r="B4" t="s">
        <v>19</v>
      </c>
      <c r="C4" t="s">
        <v>42</v>
      </c>
      <c r="D4" t="s">
        <v>43</v>
      </c>
      <c r="E4" t="s">
        <v>44</v>
      </c>
      <c r="F4" t="s">
        <v>44</v>
      </c>
      <c r="G4" t="s">
        <v>35</v>
      </c>
      <c r="H4" t="s">
        <v>25</v>
      </c>
      <c r="I4" t="s">
        <v>45</v>
      </c>
      <c r="J4" t="s">
        <v>27</v>
      </c>
      <c r="K4" t="s">
        <v>38</v>
      </c>
      <c r="L4" t="s">
        <v>29</v>
      </c>
      <c r="M4">
        <v>4</v>
      </c>
      <c r="N4">
        <v>2441</v>
      </c>
      <c r="O4">
        <v>9764</v>
      </c>
      <c r="P4">
        <v>129385</v>
      </c>
      <c r="Q4" t="s">
        <v>46</v>
      </c>
      <c r="R4">
        <v>2026</v>
      </c>
    </row>
    <row r="5" spans="1:18" x14ac:dyDescent="0.3">
      <c r="A5" t="s">
        <v>47</v>
      </c>
      <c r="B5" t="s">
        <v>19</v>
      </c>
      <c r="C5" t="s">
        <v>48</v>
      </c>
      <c r="D5" t="s">
        <v>21</v>
      </c>
      <c r="E5" t="s">
        <v>49</v>
      </c>
      <c r="F5" t="s">
        <v>50</v>
      </c>
      <c r="G5" t="s">
        <v>35</v>
      </c>
      <c r="H5" t="s">
        <v>51</v>
      </c>
      <c r="I5" t="s">
        <v>37</v>
      </c>
      <c r="J5" t="s">
        <v>52</v>
      </c>
      <c r="K5" t="s">
        <v>38</v>
      </c>
      <c r="L5" t="s">
        <v>53</v>
      </c>
      <c r="M5">
        <v>8</v>
      </c>
      <c r="N5">
        <v>7909</v>
      </c>
      <c r="O5">
        <v>63272</v>
      </c>
      <c r="P5">
        <v>60520</v>
      </c>
      <c r="Q5" t="s">
        <v>54</v>
      </c>
      <c r="R5">
        <v>2026</v>
      </c>
    </row>
    <row r="6" spans="1:18" x14ac:dyDescent="0.3">
      <c r="A6" t="s">
        <v>55</v>
      </c>
      <c r="B6" t="s">
        <v>19</v>
      </c>
      <c r="C6" t="s">
        <v>56</v>
      </c>
      <c r="D6" t="s">
        <v>21</v>
      </c>
      <c r="E6" t="s">
        <v>57</v>
      </c>
      <c r="F6" t="s">
        <v>44</v>
      </c>
      <c r="G6" t="s">
        <v>35</v>
      </c>
      <c r="H6" t="s">
        <v>58</v>
      </c>
      <c r="I6" t="s">
        <v>45</v>
      </c>
      <c r="J6" t="s">
        <v>59</v>
      </c>
      <c r="K6" t="s">
        <v>38</v>
      </c>
      <c r="L6" t="s">
        <v>60</v>
      </c>
      <c r="M6">
        <v>2</v>
      </c>
      <c r="N6">
        <v>34493</v>
      </c>
      <c r="O6">
        <v>68986</v>
      </c>
      <c r="P6">
        <v>40139</v>
      </c>
      <c r="Q6" t="s">
        <v>61</v>
      </c>
      <c r="R6">
        <v>2026</v>
      </c>
    </row>
    <row r="7" spans="1:18" x14ac:dyDescent="0.3">
      <c r="A7" t="s">
        <v>62</v>
      </c>
      <c r="B7" t="s">
        <v>19</v>
      </c>
      <c r="C7" t="s">
        <v>63</v>
      </c>
      <c r="D7" t="s">
        <v>64</v>
      </c>
      <c r="E7" t="s">
        <v>49</v>
      </c>
      <c r="F7" t="s">
        <v>44</v>
      </c>
      <c r="G7" t="s">
        <v>24</v>
      </c>
      <c r="H7" t="s">
        <v>65</v>
      </c>
      <c r="I7" t="s">
        <v>37</v>
      </c>
      <c r="J7" t="s">
        <v>59</v>
      </c>
      <c r="K7" t="s">
        <v>28</v>
      </c>
      <c r="L7" t="s">
        <v>66</v>
      </c>
      <c r="M7">
        <v>7</v>
      </c>
      <c r="N7">
        <v>15430</v>
      </c>
      <c r="O7">
        <v>108010</v>
      </c>
      <c r="P7">
        <v>55753</v>
      </c>
      <c r="Q7" t="s">
        <v>67</v>
      </c>
      <c r="R7">
        <v>2026</v>
      </c>
    </row>
    <row r="8" spans="1:18" x14ac:dyDescent="0.3">
      <c r="A8" t="s">
        <v>68</v>
      </c>
      <c r="B8" t="s">
        <v>19</v>
      </c>
      <c r="C8" t="s">
        <v>69</v>
      </c>
      <c r="D8" t="s">
        <v>21</v>
      </c>
      <c r="E8" t="s">
        <v>49</v>
      </c>
      <c r="F8" t="s">
        <v>34</v>
      </c>
      <c r="G8" t="s">
        <v>24</v>
      </c>
      <c r="H8" t="s">
        <v>70</v>
      </c>
      <c r="I8" t="s">
        <v>26</v>
      </c>
      <c r="J8" t="s">
        <v>59</v>
      </c>
      <c r="K8" t="s">
        <v>71</v>
      </c>
      <c r="L8" t="s">
        <v>39</v>
      </c>
      <c r="M8">
        <v>3</v>
      </c>
      <c r="N8">
        <v>28882</v>
      </c>
      <c r="O8">
        <v>86646</v>
      </c>
      <c r="P8">
        <v>69453</v>
      </c>
      <c r="Q8" t="s">
        <v>72</v>
      </c>
      <c r="R8">
        <v>2026</v>
      </c>
    </row>
    <row r="9" spans="1:18" x14ac:dyDescent="0.3">
      <c r="A9" t="s">
        <v>73</v>
      </c>
      <c r="B9" t="s">
        <v>19</v>
      </c>
      <c r="C9" t="s">
        <v>74</v>
      </c>
      <c r="D9" t="s">
        <v>64</v>
      </c>
      <c r="E9" t="s">
        <v>57</v>
      </c>
      <c r="F9" t="s">
        <v>75</v>
      </c>
      <c r="G9" t="s">
        <v>35</v>
      </c>
      <c r="H9" t="s">
        <v>76</v>
      </c>
      <c r="I9" t="s">
        <v>77</v>
      </c>
      <c r="J9" t="s">
        <v>52</v>
      </c>
      <c r="K9" t="s">
        <v>78</v>
      </c>
      <c r="L9" t="s">
        <v>66</v>
      </c>
      <c r="M9">
        <v>6</v>
      </c>
      <c r="N9">
        <v>28177</v>
      </c>
      <c r="O9">
        <v>169062</v>
      </c>
      <c r="P9">
        <v>23059</v>
      </c>
      <c r="Q9" t="s">
        <v>79</v>
      </c>
      <c r="R9">
        <v>2026</v>
      </c>
    </row>
    <row r="10" spans="1:18" x14ac:dyDescent="0.3">
      <c r="A10" t="s">
        <v>80</v>
      </c>
      <c r="B10" t="s">
        <v>19</v>
      </c>
      <c r="C10" t="s">
        <v>81</v>
      </c>
      <c r="D10" t="s">
        <v>21</v>
      </c>
      <c r="E10" t="s">
        <v>82</v>
      </c>
      <c r="F10" t="s">
        <v>75</v>
      </c>
      <c r="G10" t="s">
        <v>83</v>
      </c>
      <c r="H10" t="s">
        <v>84</v>
      </c>
      <c r="I10" t="s">
        <v>37</v>
      </c>
      <c r="J10" t="s">
        <v>27</v>
      </c>
      <c r="K10" t="s">
        <v>78</v>
      </c>
      <c r="L10" t="s">
        <v>85</v>
      </c>
      <c r="M10">
        <v>5</v>
      </c>
      <c r="N10">
        <v>34962</v>
      </c>
      <c r="O10">
        <v>174810</v>
      </c>
      <c r="P10">
        <v>81459</v>
      </c>
      <c r="Q10" t="s">
        <v>86</v>
      </c>
      <c r="R10">
        <v>2026</v>
      </c>
    </row>
    <row r="11" spans="1:18" x14ac:dyDescent="0.3">
      <c r="A11" t="s">
        <v>87</v>
      </c>
      <c r="B11" t="s">
        <v>19</v>
      </c>
      <c r="C11" t="s">
        <v>88</v>
      </c>
      <c r="D11" t="s">
        <v>33</v>
      </c>
      <c r="E11" t="s">
        <v>49</v>
      </c>
      <c r="F11" t="s">
        <v>75</v>
      </c>
      <c r="G11" t="s">
        <v>89</v>
      </c>
      <c r="H11" t="s">
        <v>25</v>
      </c>
      <c r="I11" t="s">
        <v>45</v>
      </c>
      <c r="J11" t="s">
        <v>59</v>
      </c>
      <c r="K11" t="s">
        <v>38</v>
      </c>
      <c r="L11" t="s">
        <v>53</v>
      </c>
      <c r="M11">
        <v>5</v>
      </c>
      <c r="N11">
        <v>32423</v>
      </c>
      <c r="O11">
        <v>162115</v>
      </c>
      <c r="P11">
        <v>101255</v>
      </c>
      <c r="Q11" t="s">
        <v>90</v>
      </c>
      <c r="R11">
        <v>2026</v>
      </c>
    </row>
    <row r="12" spans="1:18" x14ac:dyDescent="0.3">
      <c r="A12" t="s">
        <v>91</v>
      </c>
      <c r="B12" t="s">
        <v>19</v>
      </c>
      <c r="C12" t="s">
        <v>92</v>
      </c>
      <c r="D12" t="s">
        <v>33</v>
      </c>
      <c r="E12" t="s">
        <v>49</v>
      </c>
      <c r="F12" t="s">
        <v>75</v>
      </c>
      <c r="G12" t="s">
        <v>89</v>
      </c>
      <c r="H12" t="s">
        <v>84</v>
      </c>
      <c r="I12" t="s">
        <v>26</v>
      </c>
      <c r="J12" t="s">
        <v>27</v>
      </c>
      <c r="K12" t="s">
        <v>28</v>
      </c>
      <c r="L12" t="s">
        <v>29</v>
      </c>
      <c r="M12">
        <v>1</v>
      </c>
      <c r="N12">
        <v>16292</v>
      </c>
      <c r="O12">
        <v>16292</v>
      </c>
      <c r="P12">
        <v>100222</v>
      </c>
      <c r="Q12" t="s">
        <v>93</v>
      </c>
      <c r="R12">
        <v>2026</v>
      </c>
    </row>
    <row r="13" spans="1:18" x14ac:dyDescent="0.3">
      <c r="A13" t="s">
        <v>94</v>
      </c>
      <c r="B13" t="s">
        <v>19</v>
      </c>
      <c r="C13" t="s">
        <v>95</v>
      </c>
      <c r="D13" t="s">
        <v>43</v>
      </c>
      <c r="E13" t="s">
        <v>22</v>
      </c>
      <c r="F13" t="s">
        <v>96</v>
      </c>
      <c r="G13" t="s">
        <v>97</v>
      </c>
      <c r="H13" t="s">
        <v>98</v>
      </c>
      <c r="I13" t="s">
        <v>37</v>
      </c>
      <c r="J13" t="s">
        <v>52</v>
      </c>
      <c r="K13" t="s">
        <v>28</v>
      </c>
      <c r="L13" t="s">
        <v>39</v>
      </c>
      <c r="M13">
        <v>1</v>
      </c>
      <c r="N13">
        <v>9331</v>
      </c>
      <c r="O13">
        <v>9331</v>
      </c>
      <c r="P13">
        <v>128768</v>
      </c>
      <c r="Q13" t="s">
        <v>99</v>
      </c>
      <c r="R13">
        <v>2026</v>
      </c>
    </row>
    <row r="14" spans="1:18" x14ac:dyDescent="0.3">
      <c r="A14" t="s">
        <v>100</v>
      </c>
      <c r="B14" t="s">
        <v>19</v>
      </c>
      <c r="C14" t="s">
        <v>101</v>
      </c>
      <c r="D14" t="s">
        <v>43</v>
      </c>
      <c r="E14" t="s">
        <v>82</v>
      </c>
      <c r="F14" t="s">
        <v>75</v>
      </c>
      <c r="G14" t="s">
        <v>102</v>
      </c>
      <c r="H14" t="s">
        <v>103</v>
      </c>
      <c r="I14" t="s">
        <v>77</v>
      </c>
      <c r="J14" t="s">
        <v>27</v>
      </c>
      <c r="K14" t="s">
        <v>71</v>
      </c>
      <c r="L14" t="s">
        <v>39</v>
      </c>
      <c r="M14">
        <v>1</v>
      </c>
      <c r="N14">
        <v>2391</v>
      </c>
      <c r="O14">
        <v>2391</v>
      </c>
      <c r="P14">
        <v>38703</v>
      </c>
      <c r="Q14" t="s">
        <v>104</v>
      </c>
      <c r="R14">
        <v>2026</v>
      </c>
    </row>
    <row r="15" spans="1:18" x14ac:dyDescent="0.3">
      <c r="A15" t="s">
        <v>105</v>
      </c>
      <c r="B15" t="s">
        <v>19</v>
      </c>
      <c r="C15" t="s">
        <v>106</v>
      </c>
      <c r="D15" t="s">
        <v>43</v>
      </c>
      <c r="E15" t="s">
        <v>44</v>
      </c>
      <c r="F15" t="s">
        <v>34</v>
      </c>
      <c r="G15" t="s">
        <v>35</v>
      </c>
      <c r="H15" t="s">
        <v>107</v>
      </c>
      <c r="I15" t="s">
        <v>45</v>
      </c>
      <c r="J15" t="s">
        <v>59</v>
      </c>
      <c r="K15" t="s">
        <v>78</v>
      </c>
      <c r="L15" t="s">
        <v>53</v>
      </c>
      <c r="M15">
        <v>7</v>
      </c>
      <c r="N15">
        <v>42112</v>
      </c>
      <c r="O15">
        <v>294784</v>
      </c>
      <c r="P15">
        <v>86010</v>
      </c>
      <c r="Q15" t="s">
        <v>108</v>
      </c>
      <c r="R15">
        <v>2026</v>
      </c>
    </row>
    <row r="16" spans="1:18" x14ac:dyDescent="0.3">
      <c r="A16" t="s">
        <v>109</v>
      </c>
      <c r="B16" t="s">
        <v>19</v>
      </c>
      <c r="C16" t="s">
        <v>110</v>
      </c>
      <c r="D16" t="s">
        <v>64</v>
      </c>
      <c r="E16" t="s">
        <v>111</v>
      </c>
      <c r="F16" t="s">
        <v>96</v>
      </c>
      <c r="G16" t="s">
        <v>112</v>
      </c>
      <c r="H16" t="s">
        <v>58</v>
      </c>
      <c r="I16" t="s">
        <v>77</v>
      </c>
      <c r="J16" t="s">
        <v>59</v>
      </c>
      <c r="K16" t="s">
        <v>71</v>
      </c>
      <c r="L16" t="s">
        <v>66</v>
      </c>
      <c r="M16">
        <v>8</v>
      </c>
      <c r="N16">
        <v>38940</v>
      </c>
      <c r="O16">
        <v>311520</v>
      </c>
      <c r="P16">
        <v>124312</v>
      </c>
      <c r="Q16" t="s">
        <v>113</v>
      </c>
      <c r="R16">
        <v>2026</v>
      </c>
    </row>
    <row r="17" spans="1:18" x14ac:dyDescent="0.3">
      <c r="A17" t="s">
        <v>114</v>
      </c>
      <c r="B17" t="s">
        <v>19</v>
      </c>
      <c r="C17" t="s">
        <v>115</v>
      </c>
      <c r="D17" t="s">
        <v>33</v>
      </c>
      <c r="E17" t="s">
        <v>57</v>
      </c>
      <c r="F17" t="s">
        <v>23</v>
      </c>
      <c r="G17" t="s">
        <v>116</v>
      </c>
      <c r="H17" t="s">
        <v>58</v>
      </c>
      <c r="I17" t="s">
        <v>37</v>
      </c>
      <c r="J17" t="s">
        <v>59</v>
      </c>
      <c r="K17" t="s">
        <v>71</v>
      </c>
      <c r="L17" t="s">
        <v>117</v>
      </c>
      <c r="M17">
        <v>6</v>
      </c>
      <c r="N17">
        <v>45583</v>
      </c>
      <c r="O17">
        <v>273498</v>
      </c>
      <c r="P17">
        <v>47932</v>
      </c>
      <c r="Q17" t="s">
        <v>118</v>
      </c>
      <c r="R17">
        <v>2026</v>
      </c>
    </row>
    <row r="18" spans="1:18" x14ac:dyDescent="0.3">
      <c r="A18" t="s">
        <v>119</v>
      </c>
      <c r="B18" t="s">
        <v>19</v>
      </c>
      <c r="C18" t="s">
        <v>120</v>
      </c>
      <c r="D18" t="s">
        <v>64</v>
      </c>
      <c r="E18" t="s">
        <v>44</v>
      </c>
      <c r="F18" t="s">
        <v>96</v>
      </c>
      <c r="G18" t="s">
        <v>35</v>
      </c>
      <c r="H18" t="s">
        <v>121</v>
      </c>
      <c r="I18" t="s">
        <v>37</v>
      </c>
      <c r="J18" t="s">
        <v>59</v>
      </c>
      <c r="K18" t="s">
        <v>38</v>
      </c>
      <c r="L18" t="s">
        <v>66</v>
      </c>
      <c r="M18">
        <v>7</v>
      </c>
      <c r="N18">
        <v>37254</v>
      </c>
      <c r="O18">
        <v>260778</v>
      </c>
      <c r="P18">
        <v>63594</v>
      </c>
      <c r="Q18" t="s">
        <v>122</v>
      </c>
      <c r="R18">
        <v>2026</v>
      </c>
    </row>
    <row r="19" spans="1:18" x14ac:dyDescent="0.3">
      <c r="A19" t="s">
        <v>123</v>
      </c>
      <c r="B19" t="s">
        <v>19</v>
      </c>
      <c r="C19" t="s">
        <v>124</v>
      </c>
      <c r="D19" t="s">
        <v>43</v>
      </c>
      <c r="E19" t="s">
        <v>57</v>
      </c>
      <c r="F19" t="s">
        <v>44</v>
      </c>
      <c r="G19" t="s">
        <v>102</v>
      </c>
      <c r="H19" t="s">
        <v>84</v>
      </c>
      <c r="I19" t="s">
        <v>77</v>
      </c>
      <c r="J19" t="s">
        <v>27</v>
      </c>
      <c r="K19" t="s">
        <v>38</v>
      </c>
      <c r="L19" t="s">
        <v>125</v>
      </c>
      <c r="M19">
        <v>3</v>
      </c>
      <c r="N19">
        <v>18813</v>
      </c>
      <c r="O19">
        <v>56439</v>
      </c>
      <c r="P19">
        <v>79812</v>
      </c>
      <c r="Q19" t="s">
        <v>126</v>
      </c>
      <c r="R19">
        <v>2026</v>
      </c>
    </row>
    <row r="20" spans="1:18" x14ac:dyDescent="0.3">
      <c r="A20" t="s">
        <v>127</v>
      </c>
      <c r="B20" t="s">
        <v>19</v>
      </c>
      <c r="C20" t="s">
        <v>128</v>
      </c>
      <c r="D20" t="s">
        <v>43</v>
      </c>
      <c r="E20" t="s">
        <v>49</v>
      </c>
      <c r="F20" t="s">
        <v>96</v>
      </c>
      <c r="G20" t="s">
        <v>112</v>
      </c>
      <c r="H20" t="s">
        <v>129</v>
      </c>
      <c r="I20" t="s">
        <v>77</v>
      </c>
      <c r="J20" t="s">
        <v>52</v>
      </c>
      <c r="K20" t="s">
        <v>71</v>
      </c>
      <c r="L20" t="s">
        <v>117</v>
      </c>
      <c r="M20">
        <v>4</v>
      </c>
      <c r="N20">
        <v>12472</v>
      </c>
      <c r="O20">
        <v>49888</v>
      </c>
      <c r="P20">
        <v>140395</v>
      </c>
      <c r="Q20" t="s">
        <v>130</v>
      </c>
      <c r="R20">
        <v>2026</v>
      </c>
    </row>
    <row r="21" spans="1:18" x14ac:dyDescent="0.3">
      <c r="A21" t="s">
        <v>131</v>
      </c>
      <c r="B21" t="s">
        <v>19</v>
      </c>
      <c r="C21" t="s">
        <v>132</v>
      </c>
      <c r="D21" t="s">
        <v>43</v>
      </c>
      <c r="E21" t="s">
        <v>49</v>
      </c>
      <c r="F21" t="s">
        <v>96</v>
      </c>
      <c r="G21" t="s">
        <v>24</v>
      </c>
      <c r="H21" t="s">
        <v>76</v>
      </c>
      <c r="I21" t="s">
        <v>26</v>
      </c>
      <c r="J21" t="s">
        <v>59</v>
      </c>
      <c r="K21" t="s">
        <v>28</v>
      </c>
      <c r="L21" t="s">
        <v>66</v>
      </c>
      <c r="M21">
        <v>8</v>
      </c>
      <c r="N21">
        <v>4348</v>
      </c>
      <c r="O21">
        <v>34784</v>
      </c>
      <c r="P21">
        <v>134663</v>
      </c>
      <c r="Q21" t="s">
        <v>133</v>
      </c>
      <c r="R21">
        <v>2026</v>
      </c>
    </row>
    <row r="22" spans="1:18" x14ac:dyDescent="0.3">
      <c r="A22" t="s">
        <v>134</v>
      </c>
      <c r="B22" t="s">
        <v>19</v>
      </c>
      <c r="C22" t="s">
        <v>135</v>
      </c>
      <c r="D22" t="s">
        <v>33</v>
      </c>
      <c r="E22" t="s">
        <v>82</v>
      </c>
      <c r="F22" t="s">
        <v>50</v>
      </c>
      <c r="G22" t="s">
        <v>116</v>
      </c>
      <c r="H22" t="s">
        <v>107</v>
      </c>
      <c r="I22" t="s">
        <v>26</v>
      </c>
      <c r="J22" t="s">
        <v>52</v>
      </c>
      <c r="K22" t="s">
        <v>28</v>
      </c>
      <c r="L22" t="s">
        <v>53</v>
      </c>
      <c r="M22">
        <v>7</v>
      </c>
      <c r="N22">
        <v>5509</v>
      </c>
      <c r="O22">
        <v>38563</v>
      </c>
      <c r="P22">
        <v>68995</v>
      </c>
      <c r="Q22" t="s">
        <v>136</v>
      </c>
      <c r="R22">
        <v>2026</v>
      </c>
    </row>
    <row r="23" spans="1:18" x14ac:dyDescent="0.3">
      <c r="A23" t="s">
        <v>137</v>
      </c>
      <c r="B23" t="s">
        <v>19</v>
      </c>
      <c r="C23" t="s">
        <v>138</v>
      </c>
      <c r="D23" t="s">
        <v>33</v>
      </c>
      <c r="E23" t="s">
        <v>44</v>
      </c>
      <c r="F23" t="s">
        <v>75</v>
      </c>
      <c r="G23" t="s">
        <v>116</v>
      </c>
      <c r="H23" t="s">
        <v>139</v>
      </c>
      <c r="I23" t="s">
        <v>37</v>
      </c>
      <c r="J23" t="s">
        <v>52</v>
      </c>
      <c r="K23" t="s">
        <v>71</v>
      </c>
      <c r="L23" t="s">
        <v>125</v>
      </c>
      <c r="M23">
        <v>3</v>
      </c>
      <c r="N23">
        <v>42174</v>
      </c>
      <c r="O23">
        <v>126522</v>
      </c>
      <c r="P23">
        <v>58088</v>
      </c>
      <c r="Q23" t="s">
        <v>140</v>
      </c>
      <c r="R23">
        <v>2026</v>
      </c>
    </row>
    <row r="24" spans="1:18" x14ac:dyDescent="0.3">
      <c r="A24" t="s">
        <v>141</v>
      </c>
      <c r="B24" t="s">
        <v>19</v>
      </c>
      <c r="C24" t="s">
        <v>142</v>
      </c>
      <c r="D24" t="s">
        <v>43</v>
      </c>
      <c r="E24" t="s">
        <v>57</v>
      </c>
      <c r="F24" t="s">
        <v>96</v>
      </c>
      <c r="G24" t="s">
        <v>97</v>
      </c>
      <c r="H24" t="s">
        <v>143</v>
      </c>
      <c r="I24" t="s">
        <v>45</v>
      </c>
      <c r="J24" t="s">
        <v>59</v>
      </c>
      <c r="K24" t="s">
        <v>78</v>
      </c>
      <c r="L24" t="s">
        <v>29</v>
      </c>
      <c r="M24">
        <v>8</v>
      </c>
      <c r="N24">
        <v>32673</v>
      </c>
      <c r="O24">
        <v>261384</v>
      </c>
      <c r="P24">
        <v>39709</v>
      </c>
      <c r="Q24" t="s">
        <v>144</v>
      </c>
      <c r="R24">
        <v>2026</v>
      </c>
    </row>
    <row r="25" spans="1:18" x14ac:dyDescent="0.3">
      <c r="A25" t="s">
        <v>145</v>
      </c>
      <c r="B25" t="s">
        <v>19</v>
      </c>
      <c r="C25" t="s">
        <v>146</v>
      </c>
      <c r="D25" t="s">
        <v>21</v>
      </c>
      <c r="E25" t="s">
        <v>44</v>
      </c>
      <c r="F25" t="s">
        <v>23</v>
      </c>
      <c r="G25" t="s">
        <v>83</v>
      </c>
      <c r="H25" t="s">
        <v>147</v>
      </c>
      <c r="I25" t="s">
        <v>45</v>
      </c>
      <c r="J25" t="s">
        <v>52</v>
      </c>
      <c r="K25" t="s">
        <v>78</v>
      </c>
      <c r="L25" t="s">
        <v>117</v>
      </c>
      <c r="M25">
        <v>8</v>
      </c>
      <c r="N25">
        <v>36298</v>
      </c>
      <c r="O25">
        <v>290384</v>
      </c>
      <c r="P25">
        <v>89021</v>
      </c>
      <c r="Q25" t="s">
        <v>148</v>
      </c>
      <c r="R25">
        <v>2026</v>
      </c>
    </row>
    <row r="26" spans="1:18" x14ac:dyDescent="0.3">
      <c r="A26" t="s">
        <v>149</v>
      </c>
      <c r="B26" t="s">
        <v>19</v>
      </c>
      <c r="C26" t="s">
        <v>150</v>
      </c>
      <c r="D26" t="s">
        <v>43</v>
      </c>
      <c r="E26" t="s">
        <v>44</v>
      </c>
      <c r="F26" t="s">
        <v>44</v>
      </c>
      <c r="G26" t="s">
        <v>112</v>
      </c>
      <c r="H26" t="s">
        <v>143</v>
      </c>
      <c r="I26" t="s">
        <v>45</v>
      </c>
      <c r="J26" t="s">
        <v>52</v>
      </c>
      <c r="K26" t="s">
        <v>71</v>
      </c>
      <c r="L26" t="s">
        <v>29</v>
      </c>
      <c r="M26">
        <v>3</v>
      </c>
      <c r="N26">
        <v>2270</v>
      </c>
      <c r="O26">
        <v>6810</v>
      </c>
      <c r="P26">
        <v>40881</v>
      </c>
      <c r="Q26" t="s">
        <v>151</v>
      </c>
      <c r="R26">
        <v>2026</v>
      </c>
    </row>
    <row r="27" spans="1:18" x14ac:dyDescent="0.3">
      <c r="A27" t="s">
        <v>152</v>
      </c>
      <c r="B27" t="s">
        <v>19</v>
      </c>
      <c r="C27" t="s">
        <v>153</v>
      </c>
      <c r="D27" t="s">
        <v>21</v>
      </c>
      <c r="E27" t="s">
        <v>82</v>
      </c>
      <c r="F27" t="s">
        <v>96</v>
      </c>
      <c r="G27" t="s">
        <v>116</v>
      </c>
      <c r="H27" t="s">
        <v>154</v>
      </c>
      <c r="I27" t="s">
        <v>45</v>
      </c>
      <c r="J27" t="s">
        <v>52</v>
      </c>
      <c r="K27" t="s">
        <v>28</v>
      </c>
      <c r="L27" t="s">
        <v>117</v>
      </c>
      <c r="M27">
        <v>6</v>
      </c>
      <c r="N27">
        <v>21846</v>
      </c>
      <c r="O27">
        <v>131076</v>
      </c>
      <c r="P27">
        <v>28990</v>
      </c>
      <c r="Q27" t="s">
        <v>155</v>
      </c>
      <c r="R27">
        <v>2026</v>
      </c>
    </row>
    <row r="28" spans="1:18" x14ac:dyDescent="0.3">
      <c r="A28" t="s">
        <v>156</v>
      </c>
      <c r="B28" t="s">
        <v>19</v>
      </c>
      <c r="C28" t="s">
        <v>157</v>
      </c>
      <c r="D28" t="s">
        <v>33</v>
      </c>
      <c r="E28" t="s">
        <v>49</v>
      </c>
      <c r="F28" t="s">
        <v>75</v>
      </c>
      <c r="G28" t="s">
        <v>35</v>
      </c>
      <c r="H28" t="s">
        <v>70</v>
      </c>
      <c r="I28" t="s">
        <v>26</v>
      </c>
      <c r="J28" t="s">
        <v>27</v>
      </c>
      <c r="K28" t="s">
        <v>28</v>
      </c>
      <c r="L28" t="s">
        <v>85</v>
      </c>
      <c r="M28">
        <v>8</v>
      </c>
      <c r="N28">
        <v>9463</v>
      </c>
      <c r="O28">
        <v>75704</v>
      </c>
      <c r="P28">
        <v>91633</v>
      </c>
      <c r="Q28" t="s">
        <v>158</v>
      </c>
      <c r="R28">
        <v>2026</v>
      </c>
    </row>
    <row r="29" spans="1:18" x14ac:dyDescent="0.3">
      <c r="A29" t="s">
        <v>159</v>
      </c>
      <c r="B29" t="s">
        <v>19</v>
      </c>
      <c r="C29" t="s">
        <v>160</v>
      </c>
      <c r="D29" t="s">
        <v>64</v>
      </c>
      <c r="E29" t="s">
        <v>44</v>
      </c>
      <c r="F29" t="s">
        <v>23</v>
      </c>
      <c r="G29" t="s">
        <v>24</v>
      </c>
      <c r="H29" t="s">
        <v>129</v>
      </c>
      <c r="I29" t="s">
        <v>37</v>
      </c>
      <c r="J29" t="s">
        <v>52</v>
      </c>
      <c r="K29" t="s">
        <v>71</v>
      </c>
      <c r="L29" t="s">
        <v>66</v>
      </c>
      <c r="M29">
        <v>2</v>
      </c>
      <c r="N29">
        <v>20523</v>
      </c>
      <c r="O29">
        <v>41046</v>
      </c>
      <c r="P29">
        <v>99669</v>
      </c>
      <c r="Q29" t="s">
        <v>161</v>
      </c>
      <c r="R29">
        <v>2026</v>
      </c>
    </row>
    <row r="30" spans="1:18" x14ac:dyDescent="0.3">
      <c r="A30" t="s">
        <v>162</v>
      </c>
      <c r="B30" t="s">
        <v>19</v>
      </c>
      <c r="C30" t="s">
        <v>163</v>
      </c>
      <c r="D30" t="s">
        <v>43</v>
      </c>
      <c r="E30" t="s">
        <v>82</v>
      </c>
      <c r="F30" t="s">
        <v>75</v>
      </c>
      <c r="G30" t="s">
        <v>116</v>
      </c>
      <c r="H30" t="s">
        <v>58</v>
      </c>
      <c r="I30" t="s">
        <v>77</v>
      </c>
      <c r="J30" t="s">
        <v>27</v>
      </c>
      <c r="K30" t="s">
        <v>78</v>
      </c>
      <c r="L30" t="s">
        <v>39</v>
      </c>
      <c r="M30">
        <v>6</v>
      </c>
      <c r="N30">
        <v>4175</v>
      </c>
      <c r="O30">
        <v>25050</v>
      </c>
      <c r="P30">
        <v>124926</v>
      </c>
      <c r="Q30" t="s">
        <v>164</v>
      </c>
      <c r="R30">
        <v>2026</v>
      </c>
    </row>
    <row r="31" spans="1:18" x14ac:dyDescent="0.3">
      <c r="A31" t="s">
        <v>165</v>
      </c>
      <c r="B31" t="s">
        <v>19</v>
      </c>
      <c r="C31" t="s">
        <v>166</v>
      </c>
      <c r="D31" t="s">
        <v>21</v>
      </c>
      <c r="E31" t="s">
        <v>44</v>
      </c>
      <c r="F31" t="s">
        <v>50</v>
      </c>
      <c r="G31" t="s">
        <v>35</v>
      </c>
      <c r="H31" t="s">
        <v>36</v>
      </c>
      <c r="I31" t="s">
        <v>45</v>
      </c>
      <c r="J31" t="s">
        <v>27</v>
      </c>
      <c r="K31" t="s">
        <v>71</v>
      </c>
      <c r="L31" t="s">
        <v>85</v>
      </c>
      <c r="M31">
        <v>10</v>
      </c>
      <c r="N31">
        <v>28141</v>
      </c>
      <c r="O31">
        <v>281410</v>
      </c>
      <c r="P31">
        <v>54845</v>
      </c>
      <c r="Q31" t="s">
        <v>167</v>
      </c>
      <c r="R31">
        <v>2026</v>
      </c>
    </row>
    <row r="32" spans="1:18" x14ac:dyDescent="0.3">
      <c r="A32" t="s">
        <v>168</v>
      </c>
      <c r="B32" t="s">
        <v>19</v>
      </c>
      <c r="C32" t="s">
        <v>169</v>
      </c>
      <c r="D32" t="s">
        <v>43</v>
      </c>
      <c r="E32" t="s">
        <v>82</v>
      </c>
      <c r="F32" t="s">
        <v>75</v>
      </c>
      <c r="G32" t="s">
        <v>35</v>
      </c>
      <c r="H32" t="s">
        <v>139</v>
      </c>
      <c r="I32" t="s">
        <v>26</v>
      </c>
      <c r="J32" t="s">
        <v>52</v>
      </c>
      <c r="K32" t="s">
        <v>71</v>
      </c>
      <c r="L32" t="s">
        <v>53</v>
      </c>
      <c r="M32">
        <v>7</v>
      </c>
      <c r="N32">
        <v>22135</v>
      </c>
      <c r="O32">
        <v>154945</v>
      </c>
      <c r="P32">
        <v>84215</v>
      </c>
      <c r="Q32" t="s">
        <v>170</v>
      </c>
      <c r="R32">
        <v>2026</v>
      </c>
    </row>
    <row r="33" spans="1:18" x14ac:dyDescent="0.3">
      <c r="A33" t="s">
        <v>171</v>
      </c>
      <c r="B33" t="s">
        <v>172</v>
      </c>
      <c r="C33" t="s">
        <v>173</v>
      </c>
      <c r="D33" t="s">
        <v>21</v>
      </c>
      <c r="E33" t="s">
        <v>44</v>
      </c>
      <c r="F33" t="s">
        <v>44</v>
      </c>
      <c r="G33" t="s">
        <v>102</v>
      </c>
      <c r="H33" t="s">
        <v>51</v>
      </c>
      <c r="I33" t="s">
        <v>45</v>
      </c>
      <c r="J33" t="s">
        <v>52</v>
      </c>
      <c r="K33" t="s">
        <v>71</v>
      </c>
      <c r="L33" t="s">
        <v>66</v>
      </c>
      <c r="M33">
        <v>5</v>
      </c>
      <c r="N33">
        <v>25340</v>
      </c>
      <c r="O33">
        <v>126700</v>
      </c>
      <c r="P33">
        <v>33304</v>
      </c>
      <c r="Q33" t="s">
        <v>174</v>
      </c>
      <c r="R33">
        <v>2026</v>
      </c>
    </row>
    <row r="34" spans="1:18" x14ac:dyDescent="0.3">
      <c r="A34" t="s">
        <v>175</v>
      </c>
      <c r="B34" t="s">
        <v>172</v>
      </c>
      <c r="C34" t="s">
        <v>176</v>
      </c>
      <c r="D34" t="s">
        <v>64</v>
      </c>
      <c r="E34" t="s">
        <v>82</v>
      </c>
      <c r="F34" t="s">
        <v>96</v>
      </c>
      <c r="G34" t="s">
        <v>97</v>
      </c>
      <c r="H34" t="s">
        <v>177</v>
      </c>
      <c r="I34" t="s">
        <v>45</v>
      </c>
      <c r="J34" t="s">
        <v>27</v>
      </c>
      <c r="K34" t="s">
        <v>78</v>
      </c>
      <c r="L34" t="s">
        <v>117</v>
      </c>
      <c r="M34">
        <v>10</v>
      </c>
      <c r="N34">
        <v>14774</v>
      </c>
      <c r="O34">
        <v>147740</v>
      </c>
      <c r="P34">
        <v>16719</v>
      </c>
      <c r="Q34" t="s">
        <v>178</v>
      </c>
      <c r="R34">
        <v>2026</v>
      </c>
    </row>
    <row r="35" spans="1:18" x14ac:dyDescent="0.3">
      <c r="A35" t="s">
        <v>179</v>
      </c>
      <c r="B35" t="s">
        <v>172</v>
      </c>
      <c r="C35" t="s">
        <v>180</v>
      </c>
      <c r="D35" t="s">
        <v>64</v>
      </c>
      <c r="E35" t="s">
        <v>44</v>
      </c>
      <c r="F35" t="s">
        <v>34</v>
      </c>
      <c r="G35" t="s">
        <v>116</v>
      </c>
      <c r="H35" t="s">
        <v>154</v>
      </c>
      <c r="I35" t="s">
        <v>26</v>
      </c>
      <c r="J35" t="s">
        <v>52</v>
      </c>
      <c r="K35" t="s">
        <v>28</v>
      </c>
      <c r="L35" t="s">
        <v>53</v>
      </c>
      <c r="M35">
        <v>5</v>
      </c>
      <c r="N35">
        <v>26000</v>
      </c>
      <c r="O35">
        <v>130000</v>
      </c>
      <c r="P35">
        <v>19141</v>
      </c>
      <c r="Q35" t="s">
        <v>181</v>
      </c>
      <c r="R35">
        <v>2026</v>
      </c>
    </row>
    <row r="36" spans="1:18" x14ac:dyDescent="0.3">
      <c r="A36" t="s">
        <v>182</v>
      </c>
      <c r="B36" t="s">
        <v>172</v>
      </c>
      <c r="C36" t="s">
        <v>183</v>
      </c>
      <c r="D36" t="s">
        <v>21</v>
      </c>
      <c r="E36" t="s">
        <v>44</v>
      </c>
      <c r="F36" t="s">
        <v>34</v>
      </c>
      <c r="G36" t="s">
        <v>35</v>
      </c>
      <c r="H36" t="s">
        <v>184</v>
      </c>
      <c r="I36" t="s">
        <v>26</v>
      </c>
      <c r="J36" t="s">
        <v>59</v>
      </c>
      <c r="K36" t="s">
        <v>78</v>
      </c>
      <c r="L36" t="s">
        <v>60</v>
      </c>
      <c r="M36">
        <v>9</v>
      </c>
      <c r="N36">
        <v>8766</v>
      </c>
      <c r="O36">
        <v>78894</v>
      </c>
      <c r="P36">
        <v>51142</v>
      </c>
      <c r="Q36" t="s">
        <v>185</v>
      </c>
      <c r="R36">
        <v>2026</v>
      </c>
    </row>
    <row r="37" spans="1:18" x14ac:dyDescent="0.3">
      <c r="A37" t="s">
        <v>186</v>
      </c>
      <c r="B37" t="s">
        <v>172</v>
      </c>
      <c r="C37" t="s">
        <v>187</v>
      </c>
      <c r="D37" t="s">
        <v>33</v>
      </c>
      <c r="E37" t="s">
        <v>57</v>
      </c>
      <c r="F37" t="s">
        <v>96</v>
      </c>
      <c r="G37" t="s">
        <v>89</v>
      </c>
      <c r="H37" t="s">
        <v>154</v>
      </c>
      <c r="I37" t="s">
        <v>37</v>
      </c>
      <c r="J37" t="s">
        <v>52</v>
      </c>
      <c r="K37" t="s">
        <v>28</v>
      </c>
      <c r="L37" t="s">
        <v>53</v>
      </c>
      <c r="M37">
        <v>8</v>
      </c>
      <c r="N37">
        <v>14205</v>
      </c>
      <c r="O37">
        <v>113640</v>
      </c>
      <c r="P37">
        <v>108485</v>
      </c>
      <c r="Q37" t="s">
        <v>188</v>
      </c>
      <c r="R37">
        <v>2026</v>
      </c>
    </row>
    <row r="38" spans="1:18" x14ac:dyDescent="0.3">
      <c r="A38" t="s">
        <v>189</v>
      </c>
      <c r="B38" t="s">
        <v>172</v>
      </c>
      <c r="C38" t="s">
        <v>190</v>
      </c>
      <c r="D38" t="s">
        <v>21</v>
      </c>
      <c r="E38" t="s">
        <v>57</v>
      </c>
      <c r="F38" t="s">
        <v>44</v>
      </c>
      <c r="G38" t="s">
        <v>97</v>
      </c>
      <c r="H38" t="s">
        <v>84</v>
      </c>
      <c r="I38" t="s">
        <v>77</v>
      </c>
      <c r="J38" t="s">
        <v>27</v>
      </c>
      <c r="K38" t="s">
        <v>71</v>
      </c>
      <c r="L38" t="s">
        <v>53</v>
      </c>
      <c r="M38">
        <v>1</v>
      </c>
      <c r="N38">
        <v>33389</v>
      </c>
      <c r="O38">
        <v>33389</v>
      </c>
      <c r="P38">
        <v>51985</v>
      </c>
      <c r="Q38" t="s">
        <v>191</v>
      </c>
      <c r="R38">
        <v>2026</v>
      </c>
    </row>
    <row r="39" spans="1:18" x14ac:dyDescent="0.3">
      <c r="A39" t="s">
        <v>192</v>
      </c>
      <c r="B39" t="s">
        <v>172</v>
      </c>
      <c r="C39" t="s">
        <v>193</v>
      </c>
      <c r="D39" t="s">
        <v>21</v>
      </c>
      <c r="E39" t="s">
        <v>82</v>
      </c>
      <c r="F39" t="s">
        <v>75</v>
      </c>
      <c r="G39" t="s">
        <v>116</v>
      </c>
      <c r="H39" t="s">
        <v>84</v>
      </c>
      <c r="I39" t="s">
        <v>26</v>
      </c>
      <c r="J39" t="s">
        <v>27</v>
      </c>
      <c r="K39" t="s">
        <v>28</v>
      </c>
      <c r="L39" t="s">
        <v>125</v>
      </c>
      <c r="M39">
        <v>10</v>
      </c>
      <c r="N39">
        <v>28139</v>
      </c>
      <c r="O39">
        <v>281390</v>
      </c>
      <c r="P39">
        <v>149600</v>
      </c>
      <c r="Q39" t="s">
        <v>194</v>
      </c>
      <c r="R39">
        <v>2026</v>
      </c>
    </row>
    <row r="40" spans="1:18" x14ac:dyDescent="0.3">
      <c r="A40" t="s">
        <v>195</v>
      </c>
      <c r="B40" t="s">
        <v>172</v>
      </c>
      <c r="C40" t="s">
        <v>196</v>
      </c>
      <c r="D40" t="s">
        <v>33</v>
      </c>
      <c r="E40" t="s">
        <v>57</v>
      </c>
      <c r="F40" t="s">
        <v>96</v>
      </c>
      <c r="G40" t="s">
        <v>83</v>
      </c>
      <c r="H40" t="s">
        <v>70</v>
      </c>
      <c r="I40" t="s">
        <v>37</v>
      </c>
      <c r="J40" t="s">
        <v>52</v>
      </c>
      <c r="K40" t="s">
        <v>28</v>
      </c>
      <c r="L40" t="s">
        <v>125</v>
      </c>
      <c r="M40">
        <v>1</v>
      </c>
      <c r="N40">
        <v>40469</v>
      </c>
      <c r="O40">
        <v>40469</v>
      </c>
      <c r="P40">
        <v>64972</v>
      </c>
      <c r="Q40" t="s">
        <v>197</v>
      </c>
      <c r="R40">
        <v>2026</v>
      </c>
    </row>
    <row r="41" spans="1:18" x14ac:dyDescent="0.3">
      <c r="A41" t="s">
        <v>198</v>
      </c>
      <c r="B41" t="s">
        <v>172</v>
      </c>
      <c r="C41" t="s">
        <v>199</v>
      </c>
      <c r="D41" t="s">
        <v>21</v>
      </c>
      <c r="E41" t="s">
        <v>82</v>
      </c>
      <c r="F41" t="s">
        <v>44</v>
      </c>
      <c r="G41" t="s">
        <v>102</v>
      </c>
      <c r="H41" t="s">
        <v>200</v>
      </c>
      <c r="I41" t="s">
        <v>26</v>
      </c>
      <c r="J41" t="s">
        <v>52</v>
      </c>
      <c r="K41" t="s">
        <v>28</v>
      </c>
      <c r="L41" t="s">
        <v>29</v>
      </c>
      <c r="M41">
        <v>1</v>
      </c>
      <c r="N41">
        <v>48818</v>
      </c>
      <c r="O41">
        <v>48818</v>
      </c>
      <c r="P41">
        <v>15599</v>
      </c>
      <c r="Q41" t="s">
        <v>201</v>
      </c>
      <c r="R41">
        <v>2026</v>
      </c>
    </row>
    <row r="42" spans="1:18" x14ac:dyDescent="0.3">
      <c r="A42" t="s">
        <v>202</v>
      </c>
      <c r="B42" t="s">
        <v>172</v>
      </c>
      <c r="C42" t="s">
        <v>203</v>
      </c>
      <c r="D42" t="s">
        <v>43</v>
      </c>
      <c r="E42" t="s">
        <v>49</v>
      </c>
      <c r="F42" t="s">
        <v>96</v>
      </c>
      <c r="G42" t="s">
        <v>97</v>
      </c>
      <c r="H42" t="s">
        <v>204</v>
      </c>
      <c r="I42" t="s">
        <v>26</v>
      </c>
      <c r="J42" t="s">
        <v>59</v>
      </c>
      <c r="K42" t="s">
        <v>78</v>
      </c>
      <c r="L42" t="s">
        <v>29</v>
      </c>
      <c r="M42">
        <v>7</v>
      </c>
      <c r="N42">
        <v>7373</v>
      </c>
      <c r="O42">
        <v>51611</v>
      </c>
      <c r="P42">
        <v>38930</v>
      </c>
      <c r="Q42" t="s">
        <v>205</v>
      </c>
      <c r="R42">
        <v>2026</v>
      </c>
    </row>
    <row r="43" spans="1:18" x14ac:dyDescent="0.3">
      <c r="A43" t="s">
        <v>206</v>
      </c>
      <c r="B43" t="s">
        <v>172</v>
      </c>
      <c r="C43" t="s">
        <v>207</v>
      </c>
      <c r="D43" t="s">
        <v>64</v>
      </c>
      <c r="E43" t="s">
        <v>111</v>
      </c>
      <c r="F43" t="s">
        <v>44</v>
      </c>
      <c r="G43" t="s">
        <v>116</v>
      </c>
      <c r="H43" t="s">
        <v>177</v>
      </c>
      <c r="I43" t="s">
        <v>26</v>
      </c>
      <c r="J43" t="s">
        <v>52</v>
      </c>
      <c r="K43" t="s">
        <v>78</v>
      </c>
      <c r="L43" t="s">
        <v>29</v>
      </c>
      <c r="M43">
        <v>4</v>
      </c>
      <c r="N43">
        <v>25153</v>
      </c>
      <c r="O43">
        <v>100612</v>
      </c>
      <c r="P43">
        <v>73665</v>
      </c>
      <c r="Q43" t="s">
        <v>208</v>
      </c>
      <c r="R43">
        <v>2026</v>
      </c>
    </row>
    <row r="44" spans="1:18" x14ac:dyDescent="0.3">
      <c r="A44" t="s">
        <v>209</v>
      </c>
      <c r="B44" t="s">
        <v>172</v>
      </c>
      <c r="C44" t="s">
        <v>210</v>
      </c>
      <c r="D44" t="s">
        <v>21</v>
      </c>
      <c r="E44" t="s">
        <v>111</v>
      </c>
      <c r="F44" t="s">
        <v>96</v>
      </c>
      <c r="G44" t="s">
        <v>102</v>
      </c>
      <c r="H44" t="s">
        <v>211</v>
      </c>
      <c r="I44" t="s">
        <v>45</v>
      </c>
      <c r="J44" t="s">
        <v>59</v>
      </c>
      <c r="K44" t="s">
        <v>71</v>
      </c>
      <c r="L44" t="s">
        <v>60</v>
      </c>
      <c r="M44">
        <v>7</v>
      </c>
      <c r="N44">
        <v>15286</v>
      </c>
      <c r="O44">
        <v>107002</v>
      </c>
      <c r="P44">
        <v>37770</v>
      </c>
      <c r="Q44" t="s">
        <v>212</v>
      </c>
      <c r="R44">
        <v>2026</v>
      </c>
    </row>
    <row r="45" spans="1:18" x14ac:dyDescent="0.3">
      <c r="A45" t="s">
        <v>213</v>
      </c>
      <c r="B45" t="s">
        <v>172</v>
      </c>
      <c r="C45" t="s">
        <v>214</v>
      </c>
      <c r="D45" t="s">
        <v>43</v>
      </c>
      <c r="E45" t="s">
        <v>49</v>
      </c>
      <c r="F45" t="s">
        <v>34</v>
      </c>
      <c r="G45" t="s">
        <v>116</v>
      </c>
      <c r="H45" t="s">
        <v>103</v>
      </c>
      <c r="I45" t="s">
        <v>77</v>
      </c>
      <c r="J45" t="s">
        <v>27</v>
      </c>
      <c r="K45" t="s">
        <v>28</v>
      </c>
      <c r="L45" t="s">
        <v>125</v>
      </c>
      <c r="M45">
        <v>4</v>
      </c>
      <c r="N45">
        <v>7394</v>
      </c>
      <c r="O45">
        <v>29576</v>
      </c>
      <c r="P45">
        <v>44351</v>
      </c>
      <c r="Q45" t="s">
        <v>215</v>
      </c>
      <c r="R45">
        <v>2026</v>
      </c>
    </row>
    <row r="46" spans="1:18" x14ac:dyDescent="0.3">
      <c r="A46" t="s">
        <v>216</v>
      </c>
      <c r="B46" t="s">
        <v>172</v>
      </c>
      <c r="C46" t="s">
        <v>217</v>
      </c>
      <c r="D46" t="s">
        <v>33</v>
      </c>
      <c r="E46" t="s">
        <v>57</v>
      </c>
      <c r="F46" t="s">
        <v>50</v>
      </c>
      <c r="G46" t="s">
        <v>35</v>
      </c>
      <c r="H46" t="s">
        <v>218</v>
      </c>
      <c r="I46" t="s">
        <v>45</v>
      </c>
      <c r="J46" t="s">
        <v>59</v>
      </c>
      <c r="K46" t="s">
        <v>71</v>
      </c>
      <c r="L46" t="s">
        <v>29</v>
      </c>
      <c r="M46">
        <v>6</v>
      </c>
      <c r="N46">
        <v>35525</v>
      </c>
      <c r="O46">
        <v>213150</v>
      </c>
      <c r="P46">
        <v>107687</v>
      </c>
      <c r="Q46" t="s">
        <v>219</v>
      </c>
      <c r="R46">
        <v>2026</v>
      </c>
    </row>
    <row r="47" spans="1:18" x14ac:dyDescent="0.3">
      <c r="A47" t="s">
        <v>220</v>
      </c>
      <c r="B47" t="s">
        <v>172</v>
      </c>
      <c r="C47" t="s">
        <v>221</v>
      </c>
      <c r="D47" t="s">
        <v>64</v>
      </c>
      <c r="E47" t="s">
        <v>111</v>
      </c>
      <c r="F47" t="s">
        <v>23</v>
      </c>
      <c r="G47" t="s">
        <v>83</v>
      </c>
      <c r="H47" t="s">
        <v>76</v>
      </c>
      <c r="I47" t="s">
        <v>26</v>
      </c>
      <c r="J47" t="s">
        <v>52</v>
      </c>
      <c r="K47" t="s">
        <v>28</v>
      </c>
      <c r="L47" t="s">
        <v>39</v>
      </c>
      <c r="M47">
        <v>5</v>
      </c>
      <c r="N47">
        <v>12110</v>
      </c>
      <c r="O47">
        <v>60550</v>
      </c>
      <c r="P47">
        <v>36627</v>
      </c>
      <c r="Q47" t="s">
        <v>222</v>
      </c>
      <c r="R47">
        <v>2026</v>
      </c>
    </row>
    <row r="48" spans="1:18" x14ac:dyDescent="0.3">
      <c r="A48" t="s">
        <v>223</v>
      </c>
      <c r="B48" t="s">
        <v>172</v>
      </c>
      <c r="C48" t="s">
        <v>224</v>
      </c>
      <c r="D48" t="s">
        <v>64</v>
      </c>
      <c r="E48" t="s">
        <v>49</v>
      </c>
      <c r="F48" t="s">
        <v>96</v>
      </c>
      <c r="G48" t="s">
        <v>89</v>
      </c>
      <c r="H48" t="s">
        <v>84</v>
      </c>
      <c r="I48" t="s">
        <v>77</v>
      </c>
      <c r="J48" t="s">
        <v>52</v>
      </c>
      <c r="K48" t="s">
        <v>71</v>
      </c>
      <c r="L48" t="s">
        <v>39</v>
      </c>
      <c r="M48">
        <v>6</v>
      </c>
      <c r="N48">
        <v>27548</v>
      </c>
      <c r="O48">
        <v>165288</v>
      </c>
      <c r="P48">
        <v>84251</v>
      </c>
      <c r="Q48" t="s">
        <v>225</v>
      </c>
      <c r="R48">
        <v>2026</v>
      </c>
    </row>
    <row r="49" spans="1:18" x14ac:dyDescent="0.3">
      <c r="A49" t="s">
        <v>226</v>
      </c>
      <c r="B49" t="s">
        <v>172</v>
      </c>
      <c r="C49" t="s">
        <v>227</v>
      </c>
      <c r="D49" t="s">
        <v>64</v>
      </c>
      <c r="E49" t="s">
        <v>49</v>
      </c>
      <c r="F49" t="s">
        <v>75</v>
      </c>
      <c r="G49" t="s">
        <v>24</v>
      </c>
      <c r="H49" t="s">
        <v>228</v>
      </c>
      <c r="I49" t="s">
        <v>77</v>
      </c>
      <c r="J49" t="s">
        <v>52</v>
      </c>
      <c r="K49" t="s">
        <v>71</v>
      </c>
      <c r="L49" t="s">
        <v>39</v>
      </c>
      <c r="M49">
        <v>3</v>
      </c>
      <c r="N49">
        <v>22369</v>
      </c>
      <c r="O49">
        <v>67107</v>
      </c>
      <c r="P49">
        <v>65251</v>
      </c>
      <c r="Q49" t="s">
        <v>229</v>
      </c>
      <c r="R49">
        <v>2026</v>
      </c>
    </row>
    <row r="50" spans="1:18" x14ac:dyDescent="0.3">
      <c r="A50" t="s">
        <v>230</v>
      </c>
      <c r="B50" t="s">
        <v>172</v>
      </c>
      <c r="C50" t="s">
        <v>231</v>
      </c>
      <c r="D50" t="s">
        <v>21</v>
      </c>
      <c r="E50" t="s">
        <v>82</v>
      </c>
      <c r="F50" t="s">
        <v>96</v>
      </c>
      <c r="G50" t="s">
        <v>35</v>
      </c>
      <c r="H50" t="s">
        <v>232</v>
      </c>
      <c r="I50" t="s">
        <v>77</v>
      </c>
      <c r="J50" t="s">
        <v>59</v>
      </c>
      <c r="K50" t="s">
        <v>71</v>
      </c>
      <c r="L50" t="s">
        <v>53</v>
      </c>
      <c r="M50">
        <v>7</v>
      </c>
      <c r="N50">
        <v>24599</v>
      </c>
      <c r="O50">
        <v>172193</v>
      </c>
      <c r="P50">
        <v>116283</v>
      </c>
      <c r="Q50" t="s">
        <v>233</v>
      </c>
      <c r="R50">
        <v>2026</v>
      </c>
    </row>
    <row r="51" spans="1:18" x14ac:dyDescent="0.3">
      <c r="A51" t="s">
        <v>234</v>
      </c>
      <c r="B51" t="s">
        <v>172</v>
      </c>
      <c r="C51" t="s">
        <v>235</v>
      </c>
      <c r="D51" t="s">
        <v>43</v>
      </c>
      <c r="E51" t="s">
        <v>49</v>
      </c>
      <c r="F51" t="s">
        <v>34</v>
      </c>
      <c r="G51" t="s">
        <v>35</v>
      </c>
      <c r="H51" t="s">
        <v>121</v>
      </c>
      <c r="I51" t="s">
        <v>45</v>
      </c>
      <c r="J51" t="s">
        <v>59</v>
      </c>
      <c r="K51" t="s">
        <v>71</v>
      </c>
      <c r="L51" t="s">
        <v>39</v>
      </c>
      <c r="M51">
        <v>3</v>
      </c>
      <c r="N51">
        <v>19041</v>
      </c>
      <c r="O51">
        <v>57123</v>
      </c>
      <c r="P51">
        <v>100749</v>
      </c>
      <c r="Q51" t="s">
        <v>236</v>
      </c>
      <c r="R51">
        <v>2026</v>
      </c>
    </row>
    <row r="52" spans="1:18" x14ac:dyDescent="0.3">
      <c r="A52" t="s">
        <v>237</v>
      </c>
      <c r="B52" t="s">
        <v>172</v>
      </c>
      <c r="C52" t="s">
        <v>238</v>
      </c>
      <c r="D52" t="s">
        <v>43</v>
      </c>
      <c r="E52" t="s">
        <v>22</v>
      </c>
      <c r="F52" t="s">
        <v>34</v>
      </c>
      <c r="G52" t="s">
        <v>89</v>
      </c>
      <c r="H52" t="s">
        <v>98</v>
      </c>
      <c r="I52" t="s">
        <v>26</v>
      </c>
      <c r="J52" t="s">
        <v>27</v>
      </c>
      <c r="K52" t="s">
        <v>78</v>
      </c>
      <c r="L52" t="s">
        <v>39</v>
      </c>
      <c r="M52">
        <v>5</v>
      </c>
      <c r="N52">
        <v>23970</v>
      </c>
      <c r="O52">
        <v>119850</v>
      </c>
      <c r="P52">
        <v>111572</v>
      </c>
      <c r="Q52" t="s">
        <v>239</v>
      </c>
      <c r="R52">
        <v>2026</v>
      </c>
    </row>
    <row r="53" spans="1:18" x14ac:dyDescent="0.3">
      <c r="A53" t="s">
        <v>240</v>
      </c>
      <c r="B53" t="s">
        <v>172</v>
      </c>
      <c r="C53" t="s">
        <v>241</v>
      </c>
      <c r="D53" t="s">
        <v>43</v>
      </c>
      <c r="E53" t="s">
        <v>82</v>
      </c>
      <c r="F53" t="s">
        <v>44</v>
      </c>
      <c r="G53" t="s">
        <v>112</v>
      </c>
      <c r="H53" t="s">
        <v>65</v>
      </c>
      <c r="I53" t="s">
        <v>45</v>
      </c>
      <c r="J53" t="s">
        <v>52</v>
      </c>
      <c r="K53" t="s">
        <v>28</v>
      </c>
      <c r="L53" t="s">
        <v>66</v>
      </c>
      <c r="M53">
        <v>2</v>
      </c>
      <c r="N53">
        <v>29374</v>
      </c>
      <c r="O53">
        <v>58748</v>
      </c>
      <c r="P53">
        <v>145362</v>
      </c>
      <c r="Q53" t="s">
        <v>242</v>
      </c>
      <c r="R53">
        <v>2026</v>
      </c>
    </row>
    <row r="54" spans="1:18" x14ac:dyDescent="0.3">
      <c r="A54" t="s">
        <v>243</v>
      </c>
      <c r="B54" t="s">
        <v>172</v>
      </c>
      <c r="C54" t="s">
        <v>244</v>
      </c>
      <c r="D54" t="s">
        <v>64</v>
      </c>
      <c r="E54" t="s">
        <v>22</v>
      </c>
      <c r="F54" t="s">
        <v>34</v>
      </c>
      <c r="G54" t="s">
        <v>102</v>
      </c>
      <c r="H54" t="s">
        <v>121</v>
      </c>
      <c r="I54" t="s">
        <v>45</v>
      </c>
      <c r="J54" t="s">
        <v>27</v>
      </c>
      <c r="K54" t="s">
        <v>78</v>
      </c>
      <c r="L54" t="s">
        <v>53</v>
      </c>
      <c r="M54">
        <v>1</v>
      </c>
      <c r="N54">
        <v>21268</v>
      </c>
      <c r="O54">
        <v>21268</v>
      </c>
      <c r="P54">
        <v>121016</v>
      </c>
      <c r="Q54" t="s">
        <v>245</v>
      </c>
      <c r="R54">
        <v>2026</v>
      </c>
    </row>
    <row r="55" spans="1:18" x14ac:dyDescent="0.3">
      <c r="A55" t="s">
        <v>246</v>
      </c>
      <c r="B55" t="s">
        <v>172</v>
      </c>
      <c r="C55" t="s">
        <v>247</v>
      </c>
      <c r="D55" t="s">
        <v>64</v>
      </c>
      <c r="E55" t="s">
        <v>111</v>
      </c>
      <c r="F55" t="s">
        <v>96</v>
      </c>
      <c r="G55" t="s">
        <v>35</v>
      </c>
      <c r="H55" t="s">
        <v>65</v>
      </c>
      <c r="I55" t="s">
        <v>45</v>
      </c>
      <c r="J55" t="s">
        <v>27</v>
      </c>
      <c r="K55" t="s">
        <v>28</v>
      </c>
      <c r="L55" t="s">
        <v>85</v>
      </c>
      <c r="M55">
        <v>5</v>
      </c>
      <c r="N55">
        <v>16968</v>
      </c>
      <c r="O55">
        <v>84840</v>
      </c>
      <c r="P55">
        <v>136117</v>
      </c>
      <c r="Q55" t="s">
        <v>248</v>
      </c>
      <c r="R55">
        <v>2026</v>
      </c>
    </row>
    <row r="56" spans="1:18" x14ac:dyDescent="0.3">
      <c r="A56" t="s">
        <v>249</v>
      </c>
      <c r="B56" t="s">
        <v>172</v>
      </c>
      <c r="C56" t="s">
        <v>250</v>
      </c>
      <c r="D56" t="s">
        <v>33</v>
      </c>
      <c r="E56" t="s">
        <v>82</v>
      </c>
      <c r="F56" t="s">
        <v>34</v>
      </c>
      <c r="G56" t="s">
        <v>24</v>
      </c>
      <c r="H56" t="s">
        <v>25</v>
      </c>
      <c r="I56" t="s">
        <v>26</v>
      </c>
      <c r="J56" t="s">
        <v>27</v>
      </c>
      <c r="K56" t="s">
        <v>78</v>
      </c>
      <c r="L56" t="s">
        <v>85</v>
      </c>
      <c r="M56">
        <v>4</v>
      </c>
      <c r="N56">
        <v>29540</v>
      </c>
      <c r="O56">
        <v>118160</v>
      </c>
      <c r="P56">
        <v>56087</v>
      </c>
      <c r="Q56" t="s">
        <v>251</v>
      </c>
      <c r="R56">
        <v>2026</v>
      </c>
    </row>
    <row r="57" spans="1:18" x14ac:dyDescent="0.3">
      <c r="A57" t="s">
        <v>252</v>
      </c>
      <c r="B57" t="s">
        <v>172</v>
      </c>
      <c r="C57" t="s">
        <v>253</v>
      </c>
      <c r="D57" t="s">
        <v>64</v>
      </c>
      <c r="E57" t="s">
        <v>57</v>
      </c>
      <c r="F57" t="s">
        <v>50</v>
      </c>
      <c r="G57" t="s">
        <v>89</v>
      </c>
      <c r="H57" t="s">
        <v>232</v>
      </c>
      <c r="I57" t="s">
        <v>37</v>
      </c>
      <c r="J57" t="s">
        <v>27</v>
      </c>
      <c r="K57" t="s">
        <v>78</v>
      </c>
      <c r="L57" t="s">
        <v>60</v>
      </c>
      <c r="M57">
        <v>10</v>
      </c>
      <c r="N57">
        <v>6494</v>
      </c>
      <c r="O57">
        <v>64940</v>
      </c>
      <c r="P57">
        <v>143920</v>
      </c>
      <c r="Q57" t="s">
        <v>254</v>
      </c>
      <c r="R57">
        <v>2026</v>
      </c>
    </row>
    <row r="58" spans="1:18" x14ac:dyDescent="0.3">
      <c r="A58" t="s">
        <v>255</v>
      </c>
      <c r="B58" t="s">
        <v>172</v>
      </c>
      <c r="C58" t="s">
        <v>256</v>
      </c>
      <c r="D58" t="s">
        <v>43</v>
      </c>
      <c r="E58" t="s">
        <v>44</v>
      </c>
      <c r="F58" t="s">
        <v>75</v>
      </c>
      <c r="G58" t="s">
        <v>89</v>
      </c>
      <c r="H58" t="s">
        <v>139</v>
      </c>
      <c r="I58" t="s">
        <v>37</v>
      </c>
      <c r="J58" t="s">
        <v>52</v>
      </c>
      <c r="K58" t="s">
        <v>78</v>
      </c>
      <c r="L58" t="s">
        <v>117</v>
      </c>
      <c r="M58">
        <v>3</v>
      </c>
      <c r="N58">
        <v>40612</v>
      </c>
      <c r="O58">
        <v>121836</v>
      </c>
      <c r="P58">
        <v>54617</v>
      </c>
      <c r="Q58" t="s">
        <v>257</v>
      </c>
      <c r="R58">
        <v>2026</v>
      </c>
    </row>
    <row r="59" spans="1:18" x14ac:dyDescent="0.3">
      <c r="A59" t="s">
        <v>258</v>
      </c>
      <c r="B59" t="s">
        <v>172</v>
      </c>
      <c r="C59" t="s">
        <v>259</v>
      </c>
      <c r="D59" t="s">
        <v>64</v>
      </c>
      <c r="E59" t="s">
        <v>82</v>
      </c>
      <c r="F59" t="s">
        <v>50</v>
      </c>
      <c r="G59" t="s">
        <v>24</v>
      </c>
      <c r="H59" t="s">
        <v>25</v>
      </c>
      <c r="I59" t="s">
        <v>37</v>
      </c>
      <c r="J59" t="s">
        <v>52</v>
      </c>
      <c r="K59" t="s">
        <v>78</v>
      </c>
      <c r="L59" t="s">
        <v>117</v>
      </c>
      <c r="M59">
        <v>2</v>
      </c>
      <c r="N59">
        <v>35153</v>
      </c>
      <c r="O59">
        <v>70306</v>
      </c>
      <c r="P59">
        <v>37532</v>
      </c>
      <c r="Q59" t="s">
        <v>260</v>
      </c>
      <c r="R59">
        <v>2026</v>
      </c>
    </row>
    <row r="60" spans="1:18" x14ac:dyDescent="0.3">
      <c r="A60" t="s">
        <v>261</v>
      </c>
      <c r="B60" t="s">
        <v>172</v>
      </c>
      <c r="C60" t="s">
        <v>262</v>
      </c>
      <c r="D60" t="s">
        <v>43</v>
      </c>
      <c r="E60" t="s">
        <v>82</v>
      </c>
      <c r="F60" t="s">
        <v>50</v>
      </c>
      <c r="G60" t="s">
        <v>112</v>
      </c>
      <c r="H60" t="s">
        <v>228</v>
      </c>
      <c r="I60" t="s">
        <v>77</v>
      </c>
      <c r="J60" t="s">
        <v>52</v>
      </c>
      <c r="K60" t="s">
        <v>28</v>
      </c>
      <c r="L60" t="s">
        <v>29</v>
      </c>
      <c r="M60">
        <v>5</v>
      </c>
      <c r="N60">
        <v>43350</v>
      </c>
      <c r="O60">
        <v>216750</v>
      </c>
      <c r="P60">
        <v>65203</v>
      </c>
      <c r="Q60" t="s">
        <v>263</v>
      </c>
      <c r="R60">
        <v>2026</v>
      </c>
    </row>
    <row r="61" spans="1:18" x14ac:dyDescent="0.3">
      <c r="A61" t="s">
        <v>264</v>
      </c>
      <c r="B61" t="s">
        <v>265</v>
      </c>
      <c r="C61" t="s">
        <v>266</v>
      </c>
      <c r="D61" t="s">
        <v>33</v>
      </c>
      <c r="E61" t="s">
        <v>44</v>
      </c>
      <c r="F61" t="s">
        <v>23</v>
      </c>
      <c r="G61" t="s">
        <v>89</v>
      </c>
      <c r="H61" t="s">
        <v>228</v>
      </c>
      <c r="I61" t="s">
        <v>26</v>
      </c>
      <c r="J61" t="s">
        <v>27</v>
      </c>
      <c r="K61" t="s">
        <v>78</v>
      </c>
      <c r="L61" t="s">
        <v>39</v>
      </c>
      <c r="M61">
        <v>5</v>
      </c>
      <c r="N61">
        <v>29210</v>
      </c>
      <c r="O61">
        <v>146050</v>
      </c>
      <c r="P61">
        <v>20418</v>
      </c>
      <c r="Q61" t="s">
        <v>267</v>
      </c>
      <c r="R61">
        <v>2026</v>
      </c>
    </row>
    <row r="62" spans="1:18" x14ac:dyDescent="0.3">
      <c r="A62" t="s">
        <v>268</v>
      </c>
      <c r="B62" t="s">
        <v>265</v>
      </c>
      <c r="C62" t="s">
        <v>269</v>
      </c>
      <c r="D62" t="s">
        <v>21</v>
      </c>
      <c r="E62" t="s">
        <v>49</v>
      </c>
      <c r="F62" t="s">
        <v>44</v>
      </c>
      <c r="G62" t="s">
        <v>24</v>
      </c>
      <c r="H62" t="s">
        <v>107</v>
      </c>
      <c r="I62" t="s">
        <v>37</v>
      </c>
      <c r="J62" t="s">
        <v>52</v>
      </c>
      <c r="K62" t="s">
        <v>71</v>
      </c>
      <c r="L62" t="s">
        <v>117</v>
      </c>
      <c r="M62">
        <v>3</v>
      </c>
      <c r="N62">
        <v>14539</v>
      </c>
      <c r="O62">
        <v>43617</v>
      </c>
      <c r="P62">
        <v>78815</v>
      </c>
      <c r="Q62" t="s">
        <v>270</v>
      </c>
      <c r="R62">
        <v>2026</v>
      </c>
    </row>
    <row r="63" spans="1:18" x14ac:dyDescent="0.3">
      <c r="A63" t="s">
        <v>271</v>
      </c>
      <c r="B63" t="s">
        <v>265</v>
      </c>
      <c r="C63" t="s">
        <v>272</v>
      </c>
      <c r="D63" t="s">
        <v>21</v>
      </c>
      <c r="E63" t="s">
        <v>111</v>
      </c>
      <c r="F63" t="s">
        <v>50</v>
      </c>
      <c r="G63" t="s">
        <v>35</v>
      </c>
      <c r="H63" t="s">
        <v>232</v>
      </c>
      <c r="I63" t="s">
        <v>26</v>
      </c>
      <c r="J63" t="s">
        <v>52</v>
      </c>
      <c r="K63" t="s">
        <v>28</v>
      </c>
      <c r="L63" t="s">
        <v>117</v>
      </c>
      <c r="M63">
        <v>7</v>
      </c>
      <c r="N63">
        <v>4460</v>
      </c>
      <c r="O63">
        <v>31220</v>
      </c>
      <c r="P63">
        <v>22634</v>
      </c>
      <c r="Q63" t="s">
        <v>273</v>
      </c>
      <c r="R63">
        <v>2026</v>
      </c>
    </row>
    <row r="64" spans="1:18" x14ac:dyDescent="0.3">
      <c r="A64" t="s">
        <v>274</v>
      </c>
      <c r="B64" t="s">
        <v>265</v>
      </c>
      <c r="C64" t="s">
        <v>275</v>
      </c>
      <c r="D64" t="s">
        <v>64</v>
      </c>
      <c r="E64" t="s">
        <v>49</v>
      </c>
      <c r="F64" t="s">
        <v>96</v>
      </c>
      <c r="G64" t="s">
        <v>102</v>
      </c>
      <c r="H64" t="s">
        <v>177</v>
      </c>
      <c r="I64" t="s">
        <v>37</v>
      </c>
      <c r="J64" t="s">
        <v>59</v>
      </c>
      <c r="K64" t="s">
        <v>71</v>
      </c>
      <c r="L64" t="s">
        <v>85</v>
      </c>
      <c r="M64">
        <v>9</v>
      </c>
      <c r="N64">
        <v>13933</v>
      </c>
      <c r="O64">
        <v>125397</v>
      </c>
      <c r="P64">
        <v>142393</v>
      </c>
      <c r="Q64" t="s">
        <v>276</v>
      </c>
      <c r="R64">
        <v>2026</v>
      </c>
    </row>
    <row r="65" spans="1:18" x14ac:dyDescent="0.3">
      <c r="A65" t="s">
        <v>277</v>
      </c>
      <c r="B65" t="s">
        <v>265</v>
      </c>
      <c r="C65" t="s">
        <v>278</v>
      </c>
      <c r="D65" t="s">
        <v>21</v>
      </c>
      <c r="E65" t="s">
        <v>22</v>
      </c>
      <c r="F65" t="s">
        <v>96</v>
      </c>
      <c r="G65" t="s">
        <v>35</v>
      </c>
      <c r="H65" t="s">
        <v>279</v>
      </c>
      <c r="I65" t="s">
        <v>77</v>
      </c>
      <c r="J65" t="s">
        <v>59</v>
      </c>
      <c r="K65" t="s">
        <v>28</v>
      </c>
      <c r="L65" t="s">
        <v>29</v>
      </c>
      <c r="M65">
        <v>7</v>
      </c>
      <c r="N65">
        <v>46287</v>
      </c>
      <c r="O65">
        <v>324009</v>
      </c>
      <c r="P65">
        <v>103485</v>
      </c>
      <c r="Q65" t="s">
        <v>280</v>
      </c>
      <c r="R65">
        <v>2026</v>
      </c>
    </row>
    <row r="66" spans="1:18" x14ac:dyDescent="0.3">
      <c r="A66" t="s">
        <v>281</v>
      </c>
      <c r="B66" t="s">
        <v>265</v>
      </c>
      <c r="C66" t="s">
        <v>282</v>
      </c>
      <c r="D66" t="s">
        <v>43</v>
      </c>
      <c r="E66" t="s">
        <v>111</v>
      </c>
      <c r="F66" t="s">
        <v>34</v>
      </c>
      <c r="G66" t="s">
        <v>116</v>
      </c>
      <c r="H66" t="s">
        <v>65</v>
      </c>
      <c r="I66" t="s">
        <v>45</v>
      </c>
      <c r="J66" t="s">
        <v>27</v>
      </c>
      <c r="K66" t="s">
        <v>38</v>
      </c>
      <c r="L66" t="s">
        <v>66</v>
      </c>
      <c r="M66">
        <v>4</v>
      </c>
      <c r="N66">
        <v>34569</v>
      </c>
      <c r="O66">
        <v>138276</v>
      </c>
      <c r="P66">
        <v>78205</v>
      </c>
      <c r="Q66" t="s">
        <v>283</v>
      </c>
      <c r="R66">
        <v>2026</v>
      </c>
    </row>
    <row r="67" spans="1:18" x14ac:dyDescent="0.3">
      <c r="A67" t="s">
        <v>284</v>
      </c>
      <c r="B67" t="s">
        <v>265</v>
      </c>
      <c r="C67" t="s">
        <v>285</v>
      </c>
      <c r="D67" t="s">
        <v>33</v>
      </c>
      <c r="E67" t="s">
        <v>49</v>
      </c>
      <c r="F67" t="s">
        <v>34</v>
      </c>
      <c r="G67" t="s">
        <v>24</v>
      </c>
      <c r="H67" t="s">
        <v>184</v>
      </c>
      <c r="I67" t="s">
        <v>77</v>
      </c>
      <c r="J67" t="s">
        <v>59</v>
      </c>
      <c r="K67" t="s">
        <v>28</v>
      </c>
      <c r="L67" t="s">
        <v>53</v>
      </c>
      <c r="M67">
        <v>3</v>
      </c>
      <c r="N67">
        <v>47126</v>
      </c>
      <c r="O67">
        <v>141378</v>
      </c>
      <c r="P67">
        <v>32500</v>
      </c>
      <c r="Q67" t="s">
        <v>286</v>
      </c>
      <c r="R67">
        <v>2026</v>
      </c>
    </row>
    <row r="68" spans="1:18" x14ac:dyDescent="0.3">
      <c r="A68" t="s">
        <v>287</v>
      </c>
      <c r="B68" t="s">
        <v>265</v>
      </c>
      <c r="C68" t="s">
        <v>288</v>
      </c>
      <c r="D68" t="s">
        <v>43</v>
      </c>
      <c r="E68" t="s">
        <v>111</v>
      </c>
      <c r="F68" t="s">
        <v>44</v>
      </c>
      <c r="G68" t="s">
        <v>83</v>
      </c>
      <c r="H68" t="s">
        <v>147</v>
      </c>
      <c r="I68" t="s">
        <v>45</v>
      </c>
      <c r="J68" t="s">
        <v>27</v>
      </c>
      <c r="K68" t="s">
        <v>38</v>
      </c>
      <c r="L68" t="s">
        <v>66</v>
      </c>
      <c r="M68">
        <v>1</v>
      </c>
      <c r="N68">
        <v>45113</v>
      </c>
      <c r="O68">
        <v>45113</v>
      </c>
      <c r="P68">
        <v>72059</v>
      </c>
      <c r="Q68" t="s">
        <v>289</v>
      </c>
      <c r="R68">
        <v>2026</v>
      </c>
    </row>
    <row r="69" spans="1:18" x14ac:dyDescent="0.3">
      <c r="A69" t="s">
        <v>290</v>
      </c>
      <c r="B69" t="s">
        <v>265</v>
      </c>
      <c r="C69" t="s">
        <v>291</v>
      </c>
      <c r="D69" t="s">
        <v>64</v>
      </c>
      <c r="E69" t="s">
        <v>22</v>
      </c>
      <c r="F69" t="s">
        <v>34</v>
      </c>
      <c r="G69" t="s">
        <v>116</v>
      </c>
      <c r="H69" t="s">
        <v>129</v>
      </c>
      <c r="I69" t="s">
        <v>77</v>
      </c>
      <c r="J69" t="s">
        <v>52</v>
      </c>
      <c r="K69" t="s">
        <v>78</v>
      </c>
      <c r="L69" t="s">
        <v>125</v>
      </c>
      <c r="M69">
        <v>7</v>
      </c>
      <c r="N69">
        <v>36197</v>
      </c>
      <c r="O69">
        <v>253379</v>
      </c>
      <c r="P69">
        <v>67172</v>
      </c>
      <c r="Q69" t="s">
        <v>292</v>
      </c>
      <c r="R69">
        <v>2026</v>
      </c>
    </row>
    <row r="70" spans="1:18" x14ac:dyDescent="0.3">
      <c r="A70" t="s">
        <v>293</v>
      </c>
      <c r="B70" t="s">
        <v>265</v>
      </c>
      <c r="C70" t="s">
        <v>294</v>
      </c>
      <c r="D70" t="s">
        <v>21</v>
      </c>
      <c r="E70" t="s">
        <v>44</v>
      </c>
      <c r="F70" t="s">
        <v>23</v>
      </c>
      <c r="G70" t="s">
        <v>89</v>
      </c>
      <c r="H70" t="s">
        <v>76</v>
      </c>
      <c r="I70" t="s">
        <v>26</v>
      </c>
      <c r="J70" t="s">
        <v>59</v>
      </c>
      <c r="K70" t="s">
        <v>71</v>
      </c>
      <c r="L70" t="s">
        <v>39</v>
      </c>
      <c r="M70">
        <v>2</v>
      </c>
      <c r="N70">
        <v>34069</v>
      </c>
      <c r="O70">
        <v>68138</v>
      </c>
      <c r="P70">
        <v>121217</v>
      </c>
      <c r="Q70" t="s">
        <v>295</v>
      </c>
      <c r="R70">
        <v>2026</v>
      </c>
    </row>
    <row r="71" spans="1:18" x14ac:dyDescent="0.3">
      <c r="A71" t="s">
        <v>296</v>
      </c>
      <c r="B71" t="s">
        <v>265</v>
      </c>
      <c r="C71" t="s">
        <v>297</v>
      </c>
      <c r="D71" t="s">
        <v>64</v>
      </c>
      <c r="E71" t="s">
        <v>22</v>
      </c>
      <c r="F71" t="s">
        <v>96</v>
      </c>
      <c r="G71" t="s">
        <v>35</v>
      </c>
      <c r="H71" t="s">
        <v>298</v>
      </c>
      <c r="I71" t="s">
        <v>45</v>
      </c>
      <c r="J71" t="s">
        <v>27</v>
      </c>
      <c r="K71" t="s">
        <v>38</v>
      </c>
      <c r="L71" t="s">
        <v>39</v>
      </c>
      <c r="M71">
        <v>3</v>
      </c>
      <c r="N71">
        <v>14192</v>
      </c>
      <c r="O71">
        <v>42576</v>
      </c>
      <c r="P71">
        <v>105848</v>
      </c>
      <c r="Q71" t="s">
        <v>299</v>
      </c>
      <c r="R71">
        <v>2026</v>
      </c>
    </row>
    <row r="72" spans="1:18" x14ac:dyDescent="0.3">
      <c r="A72" t="s">
        <v>300</v>
      </c>
      <c r="B72" t="s">
        <v>265</v>
      </c>
      <c r="C72" t="s">
        <v>301</v>
      </c>
      <c r="D72" t="s">
        <v>64</v>
      </c>
      <c r="E72" t="s">
        <v>44</v>
      </c>
      <c r="F72" t="s">
        <v>44</v>
      </c>
      <c r="G72" t="s">
        <v>102</v>
      </c>
      <c r="H72" t="s">
        <v>302</v>
      </c>
      <c r="I72" t="s">
        <v>37</v>
      </c>
      <c r="J72" t="s">
        <v>59</v>
      </c>
      <c r="K72" t="s">
        <v>28</v>
      </c>
      <c r="L72" t="s">
        <v>39</v>
      </c>
      <c r="M72">
        <v>6</v>
      </c>
      <c r="N72">
        <v>43910</v>
      </c>
      <c r="O72">
        <v>263460</v>
      </c>
      <c r="P72">
        <v>130071</v>
      </c>
      <c r="Q72" t="s">
        <v>303</v>
      </c>
      <c r="R72">
        <v>2026</v>
      </c>
    </row>
    <row r="73" spans="1:18" x14ac:dyDescent="0.3">
      <c r="A73" t="s">
        <v>304</v>
      </c>
      <c r="B73" t="s">
        <v>265</v>
      </c>
      <c r="C73" t="s">
        <v>305</v>
      </c>
      <c r="D73" t="s">
        <v>43</v>
      </c>
      <c r="E73" t="s">
        <v>57</v>
      </c>
      <c r="F73" t="s">
        <v>75</v>
      </c>
      <c r="G73" t="s">
        <v>89</v>
      </c>
      <c r="H73" t="s">
        <v>154</v>
      </c>
      <c r="I73" t="s">
        <v>45</v>
      </c>
      <c r="J73" t="s">
        <v>59</v>
      </c>
      <c r="K73" t="s">
        <v>78</v>
      </c>
      <c r="L73" t="s">
        <v>66</v>
      </c>
      <c r="M73">
        <v>6</v>
      </c>
      <c r="N73">
        <v>15470</v>
      </c>
      <c r="O73">
        <v>92820</v>
      </c>
      <c r="P73">
        <v>100051</v>
      </c>
      <c r="Q73" t="s">
        <v>306</v>
      </c>
      <c r="R73">
        <v>2026</v>
      </c>
    </row>
    <row r="74" spans="1:18" x14ac:dyDescent="0.3">
      <c r="A74" t="s">
        <v>307</v>
      </c>
      <c r="B74" t="s">
        <v>265</v>
      </c>
      <c r="C74" t="s">
        <v>308</v>
      </c>
      <c r="D74" t="s">
        <v>43</v>
      </c>
      <c r="E74" t="s">
        <v>111</v>
      </c>
      <c r="F74" t="s">
        <v>96</v>
      </c>
      <c r="G74" t="s">
        <v>97</v>
      </c>
      <c r="H74" t="s">
        <v>309</v>
      </c>
      <c r="I74" t="s">
        <v>37</v>
      </c>
      <c r="J74" t="s">
        <v>52</v>
      </c>
      <c r="K74" t="s">
        <v>38</v>
      </c>
      <c r="L74" t="s">
        <v>39</v>
      </c>
      <c r="M74">
        <v>6</v>
      </c>
      <c r="N74">
        <v>31941</v>
      </c>
      <c r="O74">
        <v>191646</v>
      </c>
      <c r="P74">
        <v>100189</v>
      </c>
      <c r="Q74" t="s">
        <v>310</v>
      </c>
      <c r="R74">
        <v>2026</v>
      </c>
    </row>
    <row r="75" spans="1:18" x14ac:dyDescent="0.3">
      <c r="A75" t="s">
        <v>311</v>
      </c>
      <c r="B75" t="s">
        <v>265</v>
      </c>
      <c r="C75" t="s">
        <v>312</v>
      </c>
      <c r="D75" t="s">
        <v>64</v>
      </c>
      <c r="E75" t="s">
        <v>44</v>
      </c>
      <c r="F75" t="s">
        <v>50</v>
      </c>
      <c r="G75" t="s">
        <v>35</v>
      </c>
      <c r="H75" t="s">
        <v>279</v>
      </c>
      <c r="I75" t="s">
        <v>26</v>
      </c>
      <c r="J75" t="s">
        <v>52</v>
      </c>
      <c r="K75" t="s">
        <v>71</v>
      </c>
      <c r="L75" t="s">
        <v>53</v>
      </c>
      <c r="M75">
        <v>4</v>
      </c>
      <c r="N75">
        <v>35971</v>
      </c>
      <c r="O75">
        <v>143884</v>
      </c>
      <c r="P75">
        <v>75628</v>
      </c>
      <c r="Q75" t="s">
        <v>313</v>
      </c>
      <c r="R75">
        <v>2026</v>
      </c>
    </row>
    <row r="76" spans="1:18" x14ac:dyDescent="0.3">
      <c r="A76" t="s">
        <v>314</v>
      </c>
      <c r="B76" t="s">
        <v>265</v>
      </c>
      <c r="C76" t="s">
        <v>315</v>
      </c>
      <c r="D76" t="s">
        <v>21</v>
      </c>
      <c r="E76" t="s">
        <v>44</v>
      </c>
      <c r="F76" t="s">
        <v>23</v>
      </c>
      <c r="G76" t="s">
        <v>35</v>
      </c>
      <c r="H76" t="s">
        <v>25</v>
      </c>
      <c r="I76" t="s">
        <v>26</v>
      </c>
      <c r="J76" t="s">
        <v>27</v>
      </c>
      <c r="K76" t="s">
        <v>28</v>
      </c>
      <c r="L76" t="s">
        <v>66</v>
      </c>
      <c r="M76">
        <v>6</v>
      </c>
      <c r="N76">
        <v>3949</v>
      </c>
      <c r="O76">
        <v>23694</v>
      </c>
      <c r="P76">
        <v>135411</v>
      </c>
      <c r="Q76" t="s">
        <v>316</v>
      </c>
      <c r="R76">
        <v>2026</v>
      </c>
    </row>
    <row r="77" spans="1:18" x14ac:dyDescent="0.3">
      <c r="A77" t="s">
        <v>317</v>
      </c>
      <c r="B77" t="s">
        <v>265</v>
      </c>
      <c r="C77" t="s">
        <v>318</v>
      </c>
      <c r="D77" t="s">
        <v>43</v>
      </c>
      <c r="E77" t="s">
        <v>22</v>
      </c>
      <c r="F77" t="s">
        <v>96</v>
      </c>
      <c r="G77" t="s">
        <v>24</v>
      </c>
      <c r="H77" t="s">
        <v>107</v>
      </c>
      <c r="I77" t="s">
        <v>26</v>
      </c>
      <c r="J77" t="s">
        <v>59</v>
      </c>
      <c r="K77" t="s">
        <v>38</v>
      </c>
      <c r="L77" t="s">
        <v>66</v>
      </c>
      <c r="M77">
        <v>8</v>
      </c>
      <c r="N77">
        <v>46234</v>
      </c>
      <c r="O77">
        <v>369872</v>
      </c>
      <c r="P77">
        <v>125021</v>
      </c>
      <c r="Q77" t="s">
        <v>151</v>
      </c>
      <c r="R77">
        <v>2026</v>
      </c>
    </row>
    <row r="78" spans="1:18" x14ac:dyDescent="0.3">
      <c r="A78" t="s">
        <v>319</v>
      </c>
      <c r="B78" t="s">
        <v>265</v>
      </c>
      <c r="C78" t="s">
        <v>320</v>
      </c>
      <c r="D78" t="s">
        <v>21</v>
      </c>
      <c r="E78" t="s">
        <v>82</v>
      </c>
      <c r="F78" t="s">
        <v>75</v>
      </c>
      <c r="G78" t="s">
        <v>24</v>
      </c>
      <c r="H78" t="s">
        <v>309</v>
      </c>
      <c r="I78" t="s">
        <v>37</v>
      </c>
      <c r="J78" t="s">
        <v>59</v>
      </c>
      <c r="K78" t="s">
        <v>38</v>
      </c>
      <c r="L78" t="s">
        <v>39</v>
      </c>
      <c r="M78">
        <v>6</v>
      </c>
      <c r="N78">
        <v>36590</v>
      </c>
      <c r="O78">
        <v>219540</v>
      </c>
      <c r="P78">
        <v>52537</v>
      </c>
      <c r="Q78" t="s">
        <v>321</v>
      </c>
      <c r="R78">
        <v>2026</v>
      </c>
    </row>
    <row r="79" spans="1:18" x14ac:dyDescent="0.3">
      <c r="A79" t="s">
        <v>322</v>
      </c>
      <c r="B79" t="s">
        <v>265</v>
      </c>
      <c r="C79" t="s">
        <v>323</v>
      </c>
      <c r="D79" t="s">
        <v>64</v>
      </c>
      <c r="E79" t="s">
        <v>57</v>
      </c>
      <c r="F79" t="s">
        <v>34</v>
      </c>
      <c r="G79" t="s">
        <v>112</v>
      </c>
      <c r="H79" t="s">
        <v>143</v>
      </c>
      <c r="I79" t="s">
        <v>45</v>
      </c>
      <c r="J79" t="s">
        <v>52</v>
      </c>
      <c r="K79" t="s">
        <v>71</v>
      </c>
      <c r="L79" t="s">
        <v>60</v>
      </c>
      <c r="M79">
        <v>4</v>
      </c>
      <c r="N79">
        <v>19407</v>
      </c>
      <c r="O79">
        <v>77628</v>
      </c>
      <c r="P79">
        <v>137756</v>
      </c>
      <c r="Q79" t="s">
        <v>324</v>
      </c>
      <c r="R79">
        <v>2026</v>
      </c>
    </row>
    <row r="80" spans="1:18" x14ac:dyDescent="0.3">
      <c r="A80" t="s">
        <v>325</v>
      </c>
      <c r="B80" t="s">
        <v>265</v>
      </c>
      <c r="C80" t="s">
        <v>326</v>
      </c>
      <c r="D80" t="s">
        <v>33</v>
      </c>
      <c r="E80" t="s">
        <v>49</v>
      </c>
      <c r="F80" t="s">
        <v>44</v>
      </c>
      <c r="G80" t="s">
        <v>24</v>
      </c>
      <c r="H80" t="s">
        <v>76</v>
      </c>
      <c r="I80" t="s">
        <v>37</v>
      </c>
      <c r="J80" t="s">
        <v>52</v>
      </c>
      <c r="K80" t="s">
        <v>71</v>
      </c>
      <c r="L80" t="s">
        <v>29</v>
      </c>
      <c r="M80">
        <v>7</v>
      </c>
      <c r="N80">
        <v>15328</v>
      </c>
      <c r="O80">
        <v>107296</v>
      </c>
      <c r="P80">
        <v>126446</v>
      </c>
      <c r="Q80" t="s">
        <v>327</v>
      </c>
      <c r="R80">
        <v>2026</v>
      </c>
    </row>
    <row r="81" spans="1:18" x14ac:dyDescent="0.3">
      <c r="A81" t="s">
        <v>328</v>
      </c>
      <c r="B81" t="s">
        <v>265</v>
      </c>
      <c r="C81" t="s">
        <v>329</v>
      </c>
      <c r="D81" t="s">
        <v>43</v>
      </c>
      <c r="E81" t="s">
        <v>22</v>
      </c>
      <c r="F81" t="s">
        <v>50</v>
      </c>
      <c r="G81" t="s">
        <v>102</v>
      </c>
      <c r="H81" t="s">
        <v>98</v>
      </c>
      <c r="I81" t="s">
        <v>45</v>
      </c>
      <c r="J81" t="s">
        <v>27</v>
      </c>
      <c r="K81" t="s">
        <v>38</v>
      </c>
      <c r="L81" t="s">
        <v>29</v>
      </c>
      <c r="M81">
        <v>10</v>
      </c>
      <c r="N81">
        <v>35298</v>
      </c>
      <c r="O81">
        <v>352980</v>
      </c>
      <c r="P81">
        <v>46467</v>
      </c>
      <c r="Q81" t="s">
        <v>330</v>
      </c>
      <c r="R81">
        <v>2026</v>
      </c>
    </row>
    <row r="82" spans="1:18" x14ac:dyDescent="0.3">
      <c r="A82" t="s">
        <v>331</v>
      </c>
      <c r="B82" t="s">
        <v>265</v>
      </c>
      <c r="C82" t="s">
        <v>332</v>
      </c>
      <c r="D82" t="s">
        <v>64</v>
      </c>
      <c r="E82" t="s">
        <v>49</v>
      </c>
      <c r="F82" t="s">
        <v>96</v>
      </c>
      <c r="G82" t="s">
        <v>89</v>
      </c>
      <c r="H82" t="s">
        <v>129</v>
      </c>
      <c r="I82" t="s">
        <v>37</v>
      </c>
      <c r="J82" t="s">
        <v>52</v>
      </c>
      <c r="K82" t="s">
        <v>38</v>
      </c>
      <c r="L82" t="s">
        <v>39</v>
      </c>
      <c r="M82">
        <v>9</v>
      </c>
      <c r="N82">
        <v>39229</v>
      </c>
      <c r="O82">
        <v>353061</v>
      </c>
      <c r="P82">
        <v>11529</v>
      </c>
      <c r="Q82" t="s">
        <v>333</v>
      </c>
      <c r="R82">
        <v>2026</v>
      </c>
    </row>
    <row r="83" spans="1:18" x14ac:dyDescent="0.3">
      <c r="A83" t="s">
        <v>334</v>
      </c>
      <c r="B83" t="s">
        <v>265</v>
      </c>
      <c r="C83" t="s">
        <v>335</v>
      </c>
      <c r="D83" t="s">
        <v>33</v>
      </c>
      <c r="E83" t="s">
        <v>111</v>
      </c>
      <c r="F83" t="s">
        <v>23</v>
      </c>
      <c r="G83" t="s">
        <v>83</v>
      </c>
      <c r="H83" t="s">
        <v>51</v>
      </c>
      <c r="I83" t="s">
        <v>77</v>
      </c>
      <c r="J83" t="s">
        <v>59</v>
      </c>
      <c r="K83" t="s">
        <v>78</v>
      </c>
      <c r="L83" t="s">
        <v>39</v>
      </c>
      <c r="M83">
        <v>3</v>
      </c>
      <c r="N83">
        <v>17817</v>
      </c>
      <c r="O83">
        <v>53451</v>
      </c>
      <c r="P83">
        <v>133332</v>
      </c>
      <c r="Q83" t="s">
        <v>336</v>
      </c>
      <c r="R83">
        <v>2026</v>
      </c>
    </row>
    <row r="84" spans="1:18" x14ac:dyDescent="0.3">
      <c r="A84" t="s">
        <v>337</v>
      </c>
      <c r="B84" t="s">
        <v>265</v>
      </c>
      <c r="C84" t="s">
        <v>338</v>
      </c>
      <c r="D84" t="s">
        <v>64</v>
      </c>
      <c r="E84" t="s">
        <v>22</v>
      </c>
      <c r="F84" t="s">
        <v>44</v>
      </c>
      <c r="G84" t="s">
        <v>116</v>
      </c>
      <c r="H84" t="s">
        <v>65</v>
      </c>
      <c r="I84" t="s">
        <v>77</v>
      </c>
      <c r="J84" t="s">
        <v>59</v>
      </c>
      <c r="K84" t="s">
        <v>71</v>
      </c>
      <c r="L84" t="s">
        <v>60</v>
      </c>
      <c r="M84">
        <v>1</v>
      </c>
      <c r="N84">
        <v>45858</v>
      </c>
      <c r="O84">
        <v>45858</v>
      </c>
      <c r="P84">
        <v>36072</v>
      </c>
      <c r="Q84" t="s">
        <v>339</v>
      </c>
      <c r="R84">
        <v>2026</v>
      </c>
    </row>
    <row r="85" spans="1:18" x14ac:dyDescent="0.3">
      <c r="A85" t="s">
        <v>340</v>
      </c>
      <c r="B85" t="s">
        <v>265</v>
      </c>
      <c r="C85" t="s">
        <v>341</v>
      </c>
      <c r="D85" t="s">
        <v>64</v>
      </c>
      <c r="E85" t="s">
        <v>111</v>
      </c>
      <c r="F85" t="s">
        <v>75</v>
      </c>
      <c r="G85" t="s">
        <v>35</v>
      </c>
      <c r="H85" t="s">
        <v>177</v>
      </c>
      <c r="I85" t="s">
        <v>26</v>
      </c>
      <c r="J85" t="s">
        <v>59</v>
      </c>
      <c r="K85" t="s">
        <v>71</v>
      </c>
      <c r="L85" t="s">
        <v>39</v>
      </c>
      <c r="M85">
        <v>7</v>
      </c>
      <c r="N85">
        <v>3615</v>
      </c>
      <c r="O85">
        <v>25305</v>
      </c>
      <c r="P85">
        <v>40586</v>
      </c>
      <c r="Q85" t="s">
        <v>342</v>
      </c>
      <c r="R85">
        <v>2026</v>
      </c>
    </row>
    <row r="86" spans="1:18" x14ac:dyDescent="0.3">
      <c r="A86" t="s">
        <v>343</v>
      </c>
      <c r="B86" t="s">
        <v>265</v>
      </c>
      <c r="C86" t="s">
        <v>344</v>
      </c>
      <c r="D86" t="s">
        <v>64</v>
      </c>
      <c r="E86" t="s">
        <v>22</v>
      </c>
      <c r="F86" t="s">
        <v>96</v>
      </c>
      <c r="G86" t="s">
        <v>89</v>
      </c>
      <c r="H86" t="s">
        <v>302</v>
      </c>
      <c r="I86" t="s">
        <v>77</v>
      </c>
      <c r="J86" t="s">
        <v>52</v>
      </c>
      <c r="K86" t="s">
        <v>38</v>
      </c>
      <c r="L86" t="s">
        <v>66</v>
      </c>
      <c r="M86">
        <v>4</v>
      </c>
      <c r="N86">
        <v>11468</v>
      </c>
      <c r="O86">
        <v>45872</v>
      </c>
      <c r="P86">
        <v>80259</v>
      </c>
      <c r="Q86" t="s">
        <v>345</v>
      </c>
      <c r="R86">
        <v>2026</v>
      </c>
    </row>
    <row r="87" spans="1:18" x14ac:dyDescent="0.3">
      <c r="A87" t="s">
        <v>346</v>
      </c>
      <c r="B87" t="s">
        <v>265</v>
      </c>
      <c r="C87" t="s">
        <v>347</v>
      </c>
      <c r="D87" t="s">
        <v>64</v>
      </c>
      <c r="E87" t="s">
        <v>111</v>
      </c>
      <c r="F87" t="s">
        <v>75</v>
      </c>
      <c r="G87" t="s">
        <v>35</v>
      </c>
      <c r="H87" t="s">
        <v>228</v>
      </c>
      <c r="I87" t="s">
        <v>37</v>
      </c>
      <c r="J87" t="s">
        <v>27</v>
      </c>
      <c r="K87" t="s">
        <v>71</v>
      </c>
      <c r="L87" t="s">
        <v>39</v>
      </c>
      <c r="M87">
        <v>8</v>
      </c>
      <c r="N87">
        <v>28714</v>
      </c>
      <c r="O87">
        <v>229712</v>
      </c>
      <c r="P87">
        <v>122897</v>
      </c>
      <c r="Q87" t="s">
        <v>348</v>
      </c>
      <c r="R87">
        <v>2026</v>
      </c>
    </row>
    <row r="88" spans="1:18" x14ac:dyDescent="0.3">
      <c r="A88" t="s">
        <v>349</v>
      </c>
      <c r="B88" t="s">
        <v>265</v>
      </c>
      <c r="C88" t="s">
        <v>350</v>
      </c>
      <c r="D88" t="s">
        <v>43</v>
      </c>
      <c r="E88" t="s">
        <v>49</v>
      </c>
      <c r="F88" t="s">
        <v>50</v>
      </c>
      <c r="G88" t="s">
        <v>112</v>
      </c>
      <c r="H88" t="s">
        <v>76</v>
      </c>
      <c r="I88" t="s">
        <v>37</v>
      </c>
      <c r="J88" t="s">
        <v>59</v>
      </c>
      <c r="K88" t="s">
        <v>78</v>
      </c>
      <c r="L88" t="s">
        <v>60</v>
      </c>
      <c r="M88">
        <v>6</v>
      </c>
      <c r="N88">
        <v>18752</v>
      </c>
      <c r="O88">
        <v>112512</v>
      </c>
      <c r="P88">
        <v>87307</v>
      </c>
      <c r="Q88" t="s">
        <v>351</v>
      </c>
      <c r="R88">
        <v>2026</v>
      </c>
    </row>
    <row r="89" spans="1:18" x14ac:dyDescent="0.3">
      <c r="A89" t="s">
        <v>352</v>
      </c>
      <c r="B89" t="s">
        <v>265</v>
      </c>
      <c r="C89" t="s">
        <v>353</v>
      </c>
      <c r="D89" t="s">
        <v>64</v>
      </c>
      <c r="E89" t="s">
        <v>22</v>
      </c>
      <c r="F89" t="s">
        <v>23</v>
      </c>
      <c r="G89" t="s">
        <v>102</v>
      </c>
      <c r="H89" t="s">
        <v>302</v>
      </c>
      <c r="I89" t="s">
        <v>26</v>
      </c>
      <c r="J89" t="s">
        <v>52</v>
      </c>
      <c r="K89" t="s">
        <v>71</v>
      </c>
      <c r="L89" t="s">
        <v>117</v>
      </c>
      <c r="M89">
        <v>7</v>
      </c>
      <c r="N89">
        <v>15476</v>
      </c>
      <c r="O89">
        <v>108332</v>
      </c>
      <c r="P89">
        <v>144915</v>
      </c>
      <c r="Q89" t="s">
        <v>354</v>
      </c>
      <c r="R89">
        <v>2026</v>
      </c>
    </row>
    <row r="90" spans="1:18" x14ac:dyDescent="0.3">
      <c r="A90" t="s">
        <v>355</v>
      </c>
      <c r="B90" t="s">
        <v>265</v>
      </c>
      <c r="C90" t="s">
        <v>356</v>
      </c>
      <c r="D90" t="s">
        <v>33</v>
      </c>
      <c r="E90" t="s">
        <v>22</v>
      </c>
      <c r="F90" t="s">
        <v>75</v>
      </c>
      <c r="G90" t="s">
        <v>97</v>
      </c>
      <c r="H90" t="s">
        <v>36</v>
      </c>
      <c r="I90" t="s">
        <v>26</v>
      </c>
      <c r="J90" t="s">
        <v>59</v>
      </c>
      <c r="K90" t="s">
        <v>71</v>
      </c>
      <c r="L90" t="s">
        <v>29</v>
      </c>
      <c r="M90">
        <v>3</v>
      </c>
      <c r="N90">
        <v>34851</v>
      </c>
      <c r="O90">
        <v>104553</v>
      </c>
      <c r="P90">
        <v>12174</v>
      </c>
      <c r="Q90" t="s">
        <v>357</v>
      </c>
      <c r="R90">
        <v>2026</v>
      </c>
    </row>
    <row r="91" spans="1:18" x14ac:dyDescent="0.3">
      <c r="A91" t="s">
        <v>358</v>
      </c>
      <c r="B91" t="s">
        <v>265</v>
      </c>
      <c r="C91" t="s">
        <v>359</v>
      </c>
      <c r="D91" t="s">
        <v>64</v>
      </c>
      <c r="E91" t="s">
        <v>57</v>
      </c>
      <c r="F91" t="s">
        <v>23</v>
      </c>
      <c r="G91" t="s">
        <v>97</v>
      </c>
      <c r="H91" t="s">
        <v>200</v>
      </c>
      <c r="I91" t="s">
        <v>45</v>
      </c>
      <c r="J91" t="s">
        <v>59</v>
      </c>
      <c r="K91" t="s">
        <v>71</v>
      </c>
      <c r="L91" t="s">
        <v>29</v>
      </c>
      <c r="M91">
        <v>6</v>
      </c>
      <c r="N91">
        <v>28895</v>
      </c>
      <c r="O91">
        <v>173370</v>
      </c>
      <c r="P91">
        <v>94886</v>
      </c>
      <c r="Q91" t="s">
        <v>360</v>
      </c>
      <c r="R91">
        <v>2026</v>
      </c>
    </row>
    <row r="92" spans="1:18" x14ac:dyDescent="0.3">
      <c r="A92" t="s">
        <v>361</v>
      </c>
      <c r="B92" t="s">
        <v>362</v>
      </c>
      <c r="C92" t="s">
        <v>363</v>
      </c>
      <c r="D92" t="s">
        <v>33</v>
      </c>
      <c r="E92" t="s">
        <v>44</v>
      </c>
      <c r="F92" t="s">
        <v>23</v>
      </c>
      <c r="G92" t="s">
        <v>97</v>
      </c>
      <c r="H92" t="s">
        <v>298</v>
      </c>
      <c r="I92" t="s">
        <v>77</v>
      </c>
      <c r="J92" t="s">
        <v>59</v>
      </c>
      <c r="K92" t="s">
        <v>71</v>
      </c>
      <c r="L92" t="s">
        <v>39</v>
      </c>
      <c r="M92">
        <v>9</v>
      </c>
      <c r="N92">
        <v>27169</v>
      </c>
      <c r="O92">
        <v>244521</v>
      </c>
      <c r="P92">
        <v>140651</v>
      </c>
      <c r="Q92" t="s">
        <v>364</v>
      </c>
      <c r="R92">
        <v>2026</v>
      </c>
    </row>
    <row r="93" spans="1:18" x14ac:dyDescent="0.3">
      <c r="A93" t="s">
        <v>365</v>
      </c>
      <c r="B93" t="s">
        <v>362</v>
      </c>
      <c r="C93" t="s">
        <v>366</v>
      </c>
      <c r="D93" t="s">
        <v>64</v>
      </c>
      <c r="E93" t="s">
        <v>111</v>
      </c>
      <c r="F93" t="s">
        <v>23</v>
      </c>
      <c r="G93" t="s">
        <v>83</v>
      </c>
      <c r="H93" t="s">
        <v>147</v>
      </c>
      <c r="I93" t="s">
        <v>37</v>
      </c>
      <c r="J93" t="s">
        <v>27</v>
      </c>
      <c r="K93" t="s">
        <v>28</v>
      </c>
      <c r="L93" t="s">
        <v>125</v>
      </c>
      <c r="M93">
        <v>1</v>
      </c>
      <c r="N93">
        <v>11074</v>
      </c>
      <c r="O93">
        <v>11074</v>
      </c>
      <c r="P93">
        <v>125267</v>
      </c>
      <c r="Q93" t="s">
        <v>367</v>
      </c>
      <c r="R93">
        <v>2026</v>
      </c>
    </row>
    <row r="94" spans="1:18" x14ac:dyDescent="0.3">
      <c r="A94" t="s">
        <v>368</v>
      </c>
      <c r="B94" t="s">
        <v>362</v>
      </c>
      <c r="C94" t="s">
        <v>369</v>
      </c>
      <c r="D94" t="s">
        <v>43</v>
      </c>
      <c r="E94" t="s">
        <v>57</v>
      </c>
      <c r="F94" t="s">
        <v>23</v>
      </c>
      <c r="G94" t="s">
        <v>89</v>
      </c>
      <c r="H94" t="s">
        <v>98</v>
      </c>
      <c r="I94" t="s">
        <v>26</v>
      </c>
      <c r="J94" t="s">
        <v>52</v>
      </c>
      <c r="K94" t="s">
        <v>78</v>
      </c>
      <c r="L94" t="s">
        <v>117</v>
      </c>
      <c r="M94">
        <v>8</v>
      </c>
      <c r="N94">
        <v>35326</v>
      </c>
      <c r="O94">
        <v>282608</v>
      </c>
      <c r="P94">
        <v>106807</v>
      </c>
      <c r="Q94" t="s">
        <v>370</v>
      </c>
      <c r="R94">
        <v>2026</v>
      </c>
    </row>
    <row r="95" spans="1:18" x14ac:dyDescent="0.3">
      <c r="A95" t="s">
        <v>371</v>
      </c>
      <c r="B95" t="s">
        <v>362</v>
      </c>
      <c r="C95" t="s">
        <v>372</v>
      </c>
      <c r="D95" t="s">
        <v>21</v>
      </c>
      <c r="E95" t="s">
        <v>49</v>
      </c>
      <c r="F95" t="s">
        <v>96</v>
      </c>
      <c r="G95" t="s">
        <v>83</v>
      </c>
      <c r="H95" t="s">
        <v>218</v>
      </c>
      <c r="I95" t="s">
        <v>45</v>
      </c>
      <c r="J95" t="s">
        <v>59</v>
      </c>
      <c r="K95" t="s">
        <v>78</v>
      </c>
      <c r="L95" t="s">
        <v>117</v>
      </c>
      <c r="M95">
        <v>6</v>
      </c>
      <c r="N95">
        <v>6745</v>
      </c>
      <c r="O95">
        <v>40470</v>
      </c>
      <c r="P95">
        <v>121645</v>
      </c>
      <c r="Q95" t="s">
        <v>373</v>
      </c>
      <c r="R95">
        <v>2026</v>
      </c>
    </row>
    <row r="96" spans="1:18" x14ac:dyDescent="0.3">
      <c r="A96" t="s">
        <v>374</v>
      </c>
      <c r="B96" t="s">
        <v>362</v>
      </c>
      <c r="C96" t="s">
        <v>375</v>
      </c>
      <c r="D96" t="s">
        <v>33</v>
      </c>
      <c r="E96" t="s">
        <v>22</v>
      </c>
      <c r="F96" t="s">
        <v>96</v>
      </c>
      <c r="G96" t="s">
        <v>116</v>
      </c>
      <c r="H96" t="s">
        <v>376</v>
      </c>
      <c r="I96" t="s">
        <v>45</v>
      </c>
      <c r="J96" t="s">
        <v>52</v>
      </c>
      <c r="K96" t="s">
        <v>71</v>
      </c>
      <c r="L96" t="s">
        <v>125</v>
      </c>
      <c r="M96">
        <v>6</v>
      </c>
      <c r="N96">
        <v>36573</v>
      </c>
      <c r="O96">
        <v>219438</v>
      </c>
      <c r="P96">
        <v>40637</v>
      </c>
      <c r="Q96" t="s">
        <v>377</v>
      </c>
      <c r="R96">
        <v>2026</v>
      </c>
    </row>
    <row r="97" spans="1:18" x14ac:dyDescent="0.3">
      <c r="A97" t="s">
        <v>378</v>
      </c>
      <c r="B97" t="s">
        <v>362</v>
      </c>
      <c r="C97" t="s">
        <v>379</v>
      </c>
      <c r="D97" t="s">
        <v>33</v>
      </c>
      <c r="E97" t="s">
        <v>111</v>
      </c>
      <c r="F97" t="s">
        <v>50</v>
      </c>
      <c r="G97" t="s">
        <v>112</v>
      </c>
      <c r="H97" t="s">
        <v>147</v>
      </c>
      <c r="I97" t="s">
        <v>77</v>
      </c>
      <c r="J97" t="s">
        <v>59</v>
      </c>
      <c r="K97" t="s">
        <v>71</v>
      </c>
      <c r="L97" t="s">
        <v>125</v>
      </c>
      <c r="M97">
        <v>6</v>
      </c>
      <c r="N97">
        <v>44607</v>
      </c>
      <c r="O97">
        <v>267642</v>
      </c>
      <c r="P97">
        <v>148625</v>
      </c>
      <c r="Q97" t="s">
        <v>380</v>
      </c>
      <c r="R97">
        <v>2026</v>
      </c>
    </row>
    <row r="98" spans="1:18" x14ac:dyDescent="0.3">
      <c r="A98" t="s">
        <v>381</v>
      </c>
      <c r="B98" t="s">
        <v>362</v>
      </c>
      <c r="C98" t="s">
        <v>382</v>
      </c>
      <c r="D98" t="s">
        <v>64</v>
      </c>
      <c r="E98" t="s">
        <v>22</v>
      </c>
      <c r="F98" t="s">
        <v>96</v>
      </c>
      <c r="G98" t="s">
        <v>112</v>
      </c>
      <c r="H98" t="s">
        <v>298</v>
      </c>
      <c r="I98" t="s">
        <v>45</v>
      </c>
      <c r="J98" t="s">
        <v>59</v>
      </c>
      <c r="K98" t="s">
        <v>71</v>
      </c>
      <c r="L98" t="s">
        <v>29</v>
      </c>
      <c r="M98">
        <v>5</v>
      </c>
      <c r="N98">
        <v>13561</v>
      </c>
      <c r="O98">
        <v>67805</v>
      </c>
      <c r="P98">
        <v>120452</v>
      </c>
      <c r="Q98" t="s">
        <v>383</v>
      </c>
      <c r="R98">
        <v>2026</v>
      </c>
    </row>
    <row r="99" spans="1:18" x14ac:dyDescent="0.3">
      <c r="A99" t="s">
        <v>384</v>
      </c>
      <c r="B99" t="s">
        <v>362</v>
      </c>
      <c r="C99" t="s">
        <v>385</v>
      </c>
      <c r="D99" t="s">
        <v>21</v>
      </c>
      <c r="E99" t="s">
        <v>22</v>
      </c>
      <c r="F99" t="s">
        <v>44</v>
      </c>
      <c r="G99" t="s">
        <v>83</v>
      </c>
      <c r="H99" t="s">
        <v>139</v>
      </c>
      <c r="I99" t="s">
        <v>26</v>
      </c>
      <c r="J99" t="s">
        <v>52</v>
      </c>
      <c r="K99" t="s">
        <v>71</v>
      </c>
      <c r="L99" t="s">
        <v>60</v>
      </c>
      <c r="M99">
        <v>10</v>
      </c>
      <c r="N99">
        <v>49372</v>
      </c>
      <c r="O99">
        <v>493720</v>
      </c>
      <c r="P99">
        <v>123739</v>
      </c>
      <c r="Q99" t="s">
        <v>386</v>
      </c>
      <c r="R99">
        <v>2026</v>
      </c>
    </row>
    <row r="100" spans="1:18" x14ac:dyDescent="0.3">
      <c r="A100" t="s">
        <v>387</v>
      </c>
      <c r="B100" t="s">
        <v>362</v>
      </c>
      <c r="C100" t="s">
        <v>388</v>
      </c>
      <c r="D100" t="s">
        <v>21</v>
      </c>
      <c r="E100" t="s">
        <v>82</v>
      </c>
      <c r="F100" t="s">
        <v>23</v>
      </c>
      <c r="G100" t="s">
        <v>83</v>
      </c>
      <c r="H100" t="s">
        <v>228</v>
      </c>
      <c r="I100" t="s">
        <v>77</v>
      </c>
      <c r="J100" t="s">
        <v>52</v>
      </c>
      <c r="K100" t="s">
        <v>28</v>
      </c>
      <c r="L100" t="s">
        <v>117</v>
      </c>
      <c r="M100">
        <v>6</v>
      </c>
      <c r="N100">
        <v>17960</v>
      </c>
      <c r="O100">
        <v>107760</v>
      </c>
      <c r="P100">
        <v>46442</v>
      </c>
      <c r="Q100" t="s">
        <v>389</v>
      </c>
      <c r="R100">
        <v>2026</v>
      </c>
    </row>
    <row r="101" spans="1:18" x14ac:dyDescent="0.3">
      <c r="A101" t="s">
        <v>390</v>
      </c>
      <c r="B101" t="s">
        <v>362</v>
      </c>
      <c r="C101" t="s">
        <v>391</v>
      </c>
      <c r="D101" t="s">
        <v>64</v>
      </c>
      <c r="E101" t="s">
        <v>82</v>
      </c>
      <c r="F101" t="s">
        <v>50</v>
      </c>
      <c r="G101" t="s">
        <v>102</v>
      </c>
      <c r="H101" t="s">
        <v>25</v>
      </c>
      <c r="I101" t="s">
        <v>37</v>
      </c>
      <c r="J101" t="s">
        <v>52</v>
      </c>
      <c r="K101" t="s">
        <v>78</v>
      </c>
      <c r="L101" t="s">
        <v>39</v>
      </c>
      <c r="M101">
        <v>5</v>
      </c>
      <c r="N101">
        <v>31798</v>
      </c>
      <c r="O101">
        <v>158990</v>
      </c>
      <c r="P101">
        <v>25611</v>
      </c>
      <c r="Q101" t="s">
        <v>392</v>
      </c>
      <c r="R101">
        <v>2026</v>
      </c>
    </row>
    <row r="102" spans="1:18" x14ac:dyDescent="0.3">
      <c r="A102" t="s">
        <v>393</v>
      </c>
      <c r="B102" t="s">
        <v>362</v>
      </c>
      <c r="C102" t="s">
        <v>394</v>
      </c>
      <c r="D102" t="s">
        <v>43</v>
      </c>
      <c r="E102" t="s">
        <v>82</v>
      </c>
      <c r="F102" t="s">
        <v>50</v>
      </c>
      <c r="G102" t="s">
        <v>24</v>
      </c>
      <c r="H102" t="s">
        <v>177</v>
      </c>
      <c r="I102" t="s">
        <v>37</v>
      </c>
      <c r="J102" t="s">
        <v>52</v>
      </c>
      <c r="K102" t="s">
        <v>78</v>
      </c>
      <c r="L102" t="s">
        <v>29</v>
      </c>
      <c r="M102">
        <v>9</v>
      </c>
      <c r="N102">
        <v>31802</v>
      </c>
      <c r="O102">
        <v>286218</v>
      </c>
      <c r="P102">
        <v>106260</v>
      </c>
      <c r="Q102" t="s">
        <v>395</v>
      </c>
      <c r="R102">
        <v>2026</v>
      </c>
    </row>
    <row r="103" spans="1:18" x14ac:dyDescent="0.3">
      <c r="A103" t="s">
        <v>396</v>
      </c>
      <c r="B103" t="s">
        <v>362</v>
      </c>
      <c r="C103" t="s">
        <v>397</v>
      </c>
      <c r="D103" t="s">
        <v>64</v>
      </c>
      <c r="E103" t="s">
        <v>22</v>
      </c>
      <c r="F103" t="s">
        <v>34</v>
      </c>
      <c r="G103" t="s">
        <v>89</v>
      </c>
      <c r="H103" t="s">
        <v>103</v>
      </c>
      <c r="I103" t="s">
        <v>37</v>
      </c>
      <c r="J103" t="s">
        <v>27</v>
      </c>
      <c r="K103" t="s">
        <v>38</v>
      </c>
      <c r="L103" t="s">
        <v>66</v>
      </c>
      <c r="M103">
        <v>7</v>
      </c>
      <c r="N103">
        <v>34481</v>
      </c>
      <c r="O103">
        <v>241367</v>
      </c>
      <c r="P103">
        <v>108803</v>
      </c>
      <c r="Q103" t="s">
        <v>398</v>
      </c>
      <c r="R103">
        <v>2026</v>
      </c>
    </row>
    <row r="104" spans="1:18" x14ac:dyDescent="0.3">
      <c r="A104" t="s">
        <v>399</v>
      </c>
      <c r="B104" t="s">
        <v>362</v>
      </c>
      <c r="C104" t="s">
        <v>400</v>
      </c>
      <c r="D104" t="s">
        <v>43</v>
      </c>
      <c r="E104" t="s">
        <v>49</v>
      </c>
      <c r="F104" t="s">
        <v>96</v>
      </c>
      <c r="G104" t="s">
        <v>24</v>
      </c>
      <c r="H104" t="s">
        <v>76</v>
      </c>
      <c r="I104" t="s">
        <v>45</v>
      </c>
      <c r="J104" t="s">
        <v>27</v>
      </c>
      <c r="K104" t="s">
        <v>28</v>
      </c>
      <c r="L104" t="s">
        <v>66</v>
      </c>
      <c r="M104">
        <v>8</v>
      </c>
      <c r="N104">
        <v>28955</v>
      </c>
      <c r="O104">
        <v>231640</v>
      </c>
      <c r="P104">
        <v>128540</v>
      </c>
      <c r="Q104" t="s">
        <v>401</v>
      </c>
      <c r="R104">
        <v>2026</v>
      </c>
    </row>
    <row r="105" spans="1:18" x14ac:dyDescent="0.3">
      <c r="A105" t="s">
        <v>402</v>
      </c>
      <c r="B105" t="s">
        <v>362</v>
      </c>
      <c r="C105" t="s">
        <v>403</v>
      </c>
      <c r="D105" t="s">
        <v>43</v>
      </c>
      <c r="E105" t="s">
        <v>82</v>
      </c>
      <c r="F105" t="s">
        <v>44</v>
      </c>
      <c r="G105" t="s">
        <v>102</v>
      </c>
      <c r="H105" t="s">
        <v>154</v>
      </c>
      <c r="I105" t="s">
        <v>45</v>
      </c>
      <c r="J105" t="s">
        <v>52</v>
      </c>
      <c r="K105" t="s">
        <v>38</v>
      </c>
      <c r="L105" t="s">
        <v>39</v>
      </c>
      <c r="M105">
        <v>2</v>
      </c>
      <c r="N105">
        <v>22118</v>
      </c>
      <c r="O105">
        <v>44236</v>
      </c>
      <c r="P105">
        <v>70174</v>
      </c>
      <c r="Q105" t="s">
        <v>404</v>
      </c>
      <c r="R105">
        <v>2026</v>
      </c>
    </row>
    <row r="106" spans="1:18" x14ac:dyDescent="0.3">
      <c r="A106" t="s">
        <v>405</v>
      </c>
      <c r="B106" t="s">
        <v>362</v>
      </c>
      <c r="C106" t="s">
        <v>406</v>
      </c>
      <c r="D106" t="s">
        <v>43</v>
      </c>
      <c r="E106" t="s">
        <v>49</v>
      </c>
      <c r="F106" t="s">
        <v>44</v>
      </c>
      <c r="G106" t="s">
        <v>89</v>
      </c>
      <c r="H106" t="s">
        <v>70</v>
      </c>
      <c r="I106" t="s">
        <v>45</v>
      </c>
      <c r="J106" t="s">
        <v>52</v>
      </c>
      <c r="K106" t="s">
        <v>78</v>
      </c>
      <c r="L106" t="s">
        <v>60</v>
      </c>
      <c r="M106">
        <v>1</v>
      </c>
      <c r="N106">
        <v>41254</v>
      </c>
      <c r="O106">
        <v>41254</v>
      </c>
      <c r="P106">
        <v>117987</v>
      </c>
      <c r="Q106" t="s">
        <v>407</v>
      </c>
      <c r="R106">
        <v>2026</v>
      </c>
    </row>
    <row r="107" spans="1:18" x14ac:dyDescent="0.3">
      <c r="A107" t="s">
        <v>408</v>
      </c>
      <c r="B107" t="s">
        <v>362</v>
      </c>
      <c r="C107" t="s">
        <v>409</v>
      </c>
      <c r="D107" t="s">
        <v>21</v>
      </c>
      <c r="E107" t="s">
        <v>57</v>
      </c>
      <c r="F107" t="s">
        <v>44</v>
      </c>
      <c r="G107" t="s">
        <v>97</v>
      </c>
      <c r="H107" t="s">
        <v>70</v>
      </c>
      <c r="I107" t="s">
        <v>45</v>
      </c>
      <c r="J107" t="s">
        <v>52</v>
      </c>
      <c r="K107" t="s">
        <v>71</v>
      </c>
      <c r="L107" t="s">
        <v>53</v>
      </c>
      <c r="M107">
        <v>5</v>
      </c>
      <c r="N107">
        <v>19518</v>
      </c>
      <c r="O107">
        <v>97590</v>
      </c>
      <c r="P107">
        <v>112801</v>
      </c>
      <c r="Q107" t="s">
        <v>410</v>
      </c>
      <c r="R107">
        <v>2026</v>
      </c>
    </row>
    <row r="108" spans="1:18" x14ac:dyDescent="0.3">
      <c r="A108" t="s">
        <v>411</v>
      </c>
      <c r="B108" t="s">
        <v>362</v>
      </c>
      <c r="C108" t="s">
        <v>412</v>
      </c>
      <c r="D108" t="s">
        <v>43</v>
      </c>
      <c r="E108" t="s">
        <v>111</v>
      </c>
      <c r="F108" t="s">
        <v>75</v>
      </c>
      <c r="G108" t="s">
        <v>35</v>
      </c>
      <c r="H108" t="s">
        <v>36</v>
      </c>
      <c r="I108" t="s">
        <v>26</v>
      </c>
      <c r="J108" t="s">
        <v>59</v>
      </c>
      <c r="K108" t="s">
        <v>78</v>
      </c>
      <c r="L108" t="s">
        <v>39</v>
      </c>
      <c r="M108">
        <v>5</v>
      </c>
      <c r="N108">
        <v>2155</v>
      </c>
      <c r="O108">
        <v>10775</v>
      </c>
      <c r="P108">
        <v>51086</v>
      </c>
      <c r="Q108" t="s">
        <v>413</v>
      </c>
      <c r="R108">
        <v>2026</v>
      </c>
    </row>
    <row r="109" spans="1:18" x14ac:dyDescent="0.3">
      <c r="A109" t="s">
        <v>414</v>
      </c>
      <c r="B109" t="s">
        <v>362</v>
      </c>
      <c r="C109" t="s">
        <v>415</v>
      </c>
      <c r="D109" t="s">
        <v>21</v>
      </c>
      <c r="E109" t="s">
        <v>44</v>
      </c>
      <c r="F109" t="s">
        <v>50</v>
      </c>
      <c r="G109" t="s">
        <v>83</v>
      </c>
      <c r="H109" t="s">
        <v>232</v>
      </c>
      <c r="I109" t="s">
        <v>37</v>
      </c>
      <c r="J109" t="s">
        <v>27</v>
      </c>
      <c r="K109" t="s">
        <v>78</v>
      </c>
      <c r="L109" t="s">
        <v>53</v>
      </c>
      <c r="M109">
        <v>5</v>
      </c>
      <c r="N109">
        <v>36446</v>
      </c>
      <c r="O109">
        <v>182230</v>
      </c>
      <c r="P109">
        <v>126399</v>
      </c>
      <c r="Q109" t="s">
        <v>416</v>
      </c>
      <c r="R109">
        <v>2026</v>
      </c>
    </row>
    <row r="110" spans="1:18" x14ac:dyDescent="0.3">
      <c r="A110" t="s">
        <v>417</v>
      </c>
      <c r="B110" t="s">
        <v>362</v>
      </c>
      <c r="C110" t="s">
        <v>418</v>
      </c>
      <c r="D110" t="s">
        <v>21</v>
      </c>
      <c r="E110" t="s">
        <v>49</v>
      </c>
      <c r="F110" t="s">
        <v>44</v>
      </c>
      <c r="G110" t="s">
        <v>24</v>
      </c>
      <c r="H110" t="s">
        <v>25</v>
      </c>
      <c r="I110" t="s">
        <v>26</v>
      </c>
      <c r="J110" t="s">
        <v>52</v>
      </c>
      <c r="K110" t="s">
        <v>38</v>
      </c>
      <c r="L110" t="s">
        <v>85</v>
      </c>
      <c r="M110">
        <v>10</v>
      </c>
      <c r="N110">
        <v>29859</v>
      </c>
      <c r="O110">
        <v>298590</v>
      </c>
      <c r="P110">
        <v>45378</v>
      </c>
      <c r="Q110" t="s">
        <v>419</v>
      </c>
      <c r="R110">
        <v>2026</v>
      </c>
    </row>
    <row r="111" spans="1:18" x14ac:dyDescent="0.3">
      <c r="A111" t="s">
        <v>420</v>
      </c>
      <c r="B111" t="s">
        <v>362</v>
      </c>
      <c r="C111" t="s">
        <v>421</v>
      </c>
      <c r="D111" t="s">
        <v>43</v>
      </c>
      <c r="E111" t="s">
        <v>44</v>
      </c>
      <c r="F111" t="s">
        <v>50</v>
      </c>
      <c r="G111" t="s">
        <v>97</v>
      </c>
      <c r="H111" t="s">
        <v>376</v>
      </c>
      <c r="I111" t="s">
        <v>37</v>
      </c>
      <c r="J111" t="s">
        <v>27</v>
      </c>
      <c r="K111" t="s">
        <v>78</v>
      </c>
      <c r="L111" t="s">
        <v>125</v>
      </c>
      <c r="M111">
        <v>7</v>
      </c>
      <c r="N111">
        <v>48455</v>
      </c>
      <c r="O111">
        <v>339185</v>
      </c>
      <c r="P111">
        <v>55369</v>
      </c>
      <c r="Q111" t="s">
        <v>422</v>
      </c>
      <c r="R111">
        <v>2026</v>
      </c>
    </row>
    <row r="112" spans="1:18" x14ac:dyDescent="0.3">
      <c r="A112" t="s">
        <v>423</v>
      </c>
      <c r="B112" t="s">
        <v>362</v>
      </c>
      <c r="C112" t="s">
        <v>424</v>
      </c>
      <c r="D112" t="s">
        <v>21</v>
      </c>
      <c r="E112" t="s">
        <v>82</v>
      </c>
      <c r="F112" t="s">
        <v>50</v>
      </c>
      <c r="G112" t="s">
        <v>97</v>
      </c>
      <c r="H112" t="s">
        <v>129</v>
      </c>
      <c r="I112" t="s">
        <v>45</v>
      </c>
      <c r="J112" t="s">
        <v>59</v>
      </c>
      <c r="K112" t="s">
        <v>78</v>
      </c>
      <c r="L112" t="s">
        <v>53</v>
      </c>
      <c r="M112">
        <v>6</v>
      </c>
      <c r="N112">
        <v>24773</v>
      </c>
      <c r="O112">
        <v>148638</v>
      </c>
      <c r="P112">
        <v>33902</v>
      </c>
      <c r="Q112" t="s">
        <v>425</v>
      </c>
      <c r="R112">
        <v>2026</v>
      </c>
    </row>
    <row r="113" spans="1:18" x14ac:dyDescent="0.3">
      <c r="A113" t="s">
        <v>426</v>
      </c>
      <c r="B113" t="s">
        <v>362</v>
      </c>
      <c r="C113" t="s">
        <v>427</v>
      </c>
      <c r="D113" t="s">
        <v>21</v>
      </c>
      <c r="E113" t="s">
        <v>111</v>
      </c>
      <c r="F113" t="s">
        <v>34</v>
      </c>
      <c r="G113" t="s">
        <v>35</v>
      </c>
      <c r="H113" t="s">
        <v>177</v>
      </c>
      <c r="I113" t="s">
        <v>45</v>
      </c>
      <c r="J113" t="s">
        <v>27</v>
      </c>
      <c r="K113" t="s">
        <v>38</v>
      </c>
      <c r="L113" t="s">
        <v>60</v>
      </c>
      <c r="M113">
        <v>4</v>
      </c>
      <c r="N113">
        <v>15445</v>
      </c>
      <c r="O113">
        <v>61780</v>
      </c>
      <c r="P113">
        <v>86271</v>
      </c>
      <c r="Q113" t="s">
        <v>428</v>
      </c>
      <c r="R113">
        <v>2026</v>
      </c>
    </row>
    <row r="114" spans="1:18" x14ac:dyDescent="0.3">
      <c r="A114" t="s">
        <v>429</v>
      </c>
      <c r="B114" t="s">
        <v>362</v>
      </c>
      <c r="C114" t="s">
        <v>430</v>
      </c>
      <c r="D114" t="s">
        <v>64</v>
      </c>
      <c r="E114" t="s">
        <v>22</v>
      </c>
      <c r="F114" t="s">
        <v>34</v>
      </c>
      <c r="G114" t="s">
        <v>89</v>
      </c>
      <c r="H114" t="s">
        <v>129</v>
      </c>
      <c r="I114" t="s">
        <v>77</v>
      </c>
      <c r="J114" t="s">
        <v>52</v>
      </c>
      <c r="K114" t="s">
        <v>28</v>
      </c>
      <c r="L114" t="s">
        <v>125</v>
      </c>
      <c r="M114">
        <v>10</v>
      </c>
      <c r="N114">
        <v>3483</v>
      </c>
      <c r="O114">
        <v>34830</v>
      </c>
      <c r="P114">
        <v>127415</v>
      </c>
      <c r="Q114" t="s">
        <v>431</v>
      </c>
      <c r="R114">
        <v>2026</v>
      </c>
    </row>
    <row r="115" spans="1:18" x14ac:dyDescent="0.3">
      <c r="A115" t="s">
        <v>432</v>
      </c>
      <c r="B115" t="s">
        <v>362</v>
      </c>
      <c r="C115" t="s">
        <v>433</v>
      </c>
      <c r="D115" t="s">
        <v>64</v>
      </c>
      <c r="E115" t="s">
        <v>44</v>
      </c>
      <c r="F115" t="s">
        <v>50</v>
      </c>
      <c r="G115" t="s">
        <v>89</v>
      </c>
      <c r="H115" t="s">
        <v>98</v>
      </c>
      <c r="I115" t="s">
        <v>26</v>
      </c>
      <c r="J115" t="s">
        <v>59</v>
      </c>
      <c r="K115" t="s">
        <v>38</v>
      </c>
      <c r="L115" t="s">
        <v>60</v>
      </c>
      <c r="M115">
        <v>4</v>
      </c>
      <c r="N115">
        <v>35548</v>
      </c>
      <c r="O115">
        <v>142192</v>
      </c>
      <c r="P115">
        <v>92456</v>
      </c>
      <c r="Q115" t="s">
        <v>434</v>
      </c>
      <c r="R115">
        <v>2026</v>
      </c>
    </row>
    <row r="116" spans="1:18" x14ac:dyDescent="0.3">
      <c r="A116" t="s">
        <v>435</v>
      </c>
      <c r="B116" t="s">
        <v>362</v>
      </c>
      <c r="C116" t="s">
        <v>436</v>
      </c>
      <c r="D116" t="s">
        <v>43</v>
      </c>
      <c r="E116" t="s">
        <v>22</v>
      </c>
      <c r="F116" t="s">
        <v>23</v>
      </c>
      <c r="G116" t="s">
        <v>83</v>
      </c>
      <c r="H116" t="s">
        <v>154</v>
      </c>
      <c r="I116" t="s">
        <v>45</v>
      </c>
      <c r="J116" t="s">
        <v>59</v>
      </c>
      <c r="K116" t="s">
        <v>78</v>
      </c>
      <c r="L116" t="s">
        <v>125</v>
      </c>
      <c r="M116">
        <v>9</v>
      </c>
      <c r="N116">
        <v>14693</v>
      </c>
      <c r="O116">
        <v>132237</v>
      </c>
      <c r="P116">
        <v>76887</v>
      </c>
      <c r="Q116" t="s">
        <v>437</v>
      </c>
      <c r="R116">
        <v>2026</v>
      </c>
    </row>
    <row r="117" spans="1:18" x14ac:dyDescent="0.3">
      <c r="A117" t="s">
        <v>438</v>
      </c>
      <c r="B117" t="s">
        <v>362</v>
      </c>
      <c r="C117" t="s">
        <v>439</v>
      </c>
      <c r="D117" t="s">
        <v>43</v>
      </c>
      <c r="E117" t="s">
        <v>57</v>
      </c>
      <c r="F117" t="s">
        <v>44</v>
      </c>
      <c r="G117" t="s">
        <v>112</v>
      </c>
      <c r="H117" t="s">
        <v>70</v>
      </c>
      <c r="I117" t="s">
        <v>45</v>
      </c>
      <c r="J117" t="s">
        <v>59</v>
      </c>
      <c r="K117" t="s">
        <v>71</v>
      </c>
      <c r="L117" t="s">
        <v>60</v>
      </c>
      <c r="M117">
        <v>5</v>
      </c>
      <c r="N117">
        <v>8947</v>
      </c>
      <c r="O117">
        <v>44735</v>
      </c>
      <c r="P117">
        <v>92073</v>
      </c>
      <c r="Q117" t="s">
        <v>440</v>
      </c>
      <c r="R117">
        <v>2026</v>
      </c>
    </row>
    <row r="118" spans="1:18" x14ac:dyDescent="0.3">
      <c r="A118" t="s">
        <v>441</v>
      </c>
      <c r="B118" t="s">
        <v>362</v>
      </c>
      <c r="C118" t="s">
        <v>442</v>
      </c>
      <c r="D118" t="s">
        <v>33</v>
      </c>
      <c r="E118" t="s">
        <v>111</v>
      </c>
      <c r="F118" t="s">
        <v>34</v>
      </c>
      <c r="G118" t="s">
        <v>112</v>
      </c>
      <c r="H118" t="s">
        <v>107</v>
      </c>
      <c r="I118" t="s">
        <v>45</v>
      </c>
      <c r="J118" t="s">
        <v>27</v>
      </c>
      <c r="K118" t="s">
        <v>28</v>
      </c>
      <c r="L118" t="s">
        <v>39</v>
      </c>
      <c r="M118">
        <v>3</v>
      </c>
      <c r="N118">
        <v>38494</v>
      </c>
      <c r="O118">
        <v>115482</v>
      </c>
      <c r="P118">
        <v>135856</v>
      </c>
      <c r="Q118" t="s">
        <v>443</v>
      </c>
      <c r="R118">
        <v>2026</v>
      </c>
    </row>
    <row r="119" spans="1:18" x14ac:dyDescent="0.3">
      <c r="A119" t="s">
        <v>444</v>
      </c>
      <c r="B119" t="s">
        <v>362</v>
      </c>
      <c r="C119" t="s">
        <v>445</v>
      </c>
      <c r="D119" t="s">
        <v>21</v>
      </c>
      <c r="E119" t="s">
        <v>22</v>
      </c>
      <c r="F119" t="s">
        <v>44</v>
      </c>
      <c r="G119" t="s">
        <v>112</v>
      </c>
      <c r="H119" t="s">
        <v>211</v>
      </c>
      <c r="I119" t="s">
        <v>26</v>
      </c>
      <c r="J119" t="s">
        <v>59</v>
      </c>
      <c r="K119" t="s">
        <v>78</v>
      </c>
      <c r="L119" t="s">
        <v>60</v>
      </c>
      <c r="M119">
        <v>4</v>
      </c>
      <c r="N119">
        <v>14354</v>
      </c>
      <c r="O119">
        <v>57416</v>
      </c>
      <c r="P119">
        <v>79847</v>
      </c>
      <c r="Q119" t="s">
        <v>446</v>
      </c>
      <c r="R119">
        <v>2026</v>
      </c>
    </row>
    <row r="120" spans="1:18" x14ac:dyDescent="0.3">
      <c r="A120" t="s">
        <v>447</v>
      </c>
      <c r="B120" t="s">
        <v>362</v>
      </c>
      <c r="C120" t="s">
        <v>448</v>
      </c>
      <c r="D120" t="s">
        <v>33</v>
      </c>
      <c r="E120" t="s">
        <v>57</v>
      </c>
      <c r="F120" t="s">
        <v>44</v>
      </c>
      <c r="G120" t="s">
        <v>116</v>
      </c>
      <c r="H120" t="s">
        <v>84</v>
      </c>
      <c r="I120" t="s">
        <v>37</v>
      </c>
      <c r="J120" t="s">
        <v>59</v>
      </c>
      <c r="K120" t="s">
        <v>38</v>
      </c>
      <c r="L120" t="s">
        <v>39</v>
      </c>
      <c r="M120">
        <v>10</v>
      </c>
      <c r="N120">
        <v>15852</v>
      </c>
      <c r="O120">
        <v>158520</v>
      </c>
      <c r="P120">
        <v>132054</v>
      </c>
      <c r="Q120" t="s">
        <v>449</v>
      </c>
      <c r="R120">
        <v>2026</v>
      </c>
    </row>
    <row r="121" spans="1:18" x14ac:dyDescent="0.3">
      <c r="A121" t="s">
        <v>450</v>
      </c>
      <c r="B121" t="s">
        <v>362</v>
      </c>
      <c r="C121" t="s">
        <v>451</v>
      </c>
      <c r="D121" t="s">
        <v>21</v>
      </c>
      <c r="E121" t="s">
        <v>82</v>
      </c>
      <c r="F121" t="s">
        <v>23</v>
      </c>
      <c r="G121" t="s">
        <v>89</v>
      </c>
      <c r="H121" t="s">
        <v>204</v>
      </c>
      <c r="I121" t="s">
        <v>45</v>
      </c>
      <c r="J121" t="s">
        <v>52</v>
      </c>
      <c r="K121" t="s">
        <v>78</v>
      </c>
      <c r="L121" t="s">
        <v>29</v>
      </c>
      <c r="M121">
        <v>6</v>
      </c>
      <c r="N121">
        <v>26682</v>
      </c>
      <c r="O121">
        <v>160092</v>
      </c>
      <c r="P121">
        <v>108403</v>
      </c>
      <c r="Q121" t="s">
        <v>452</v>
      </c>
      <c r="R121">
        <v>2026</v>
      </c>
    </row>
    <row r="122" spans="1:18" x14ac:dyDescent="0.3">
      <c r="A122" t="s">
        <v>453</v>
      </c>
      <c r="B122" t="s">
        <v>454</v>
      </c>
      <c r="C122" t="s">
        <v>455</v>
      </c>
      <c r="D122" t="s">
        <v>33</v>
      </c>
      <c r="E122" t="s">
        <v>57</v>
      </c>
      <c r="F122" t="s">
        <v>96</v>
      </c>
      <c r="G122" t="s">
        <v>112</v>
      </c>
      <c r="H122" t="s">
        <v>232</v>
      </c>
      <c r="I122" t="s">
        <v>37</v>
      </c>
      <c r="J122" t="s">
        <v>52</v>
      </c>
      <c r="K122" t="s">
        <v>71</v>
      </c>
      <c r="L122" t="s">
        <v>66</v>
      </c>
      <c r="M122">
        <v>7</v>
      </c>
      <c r="N122">
        <v>20093</v>
      </c>
      <c r="O122">
        <v>140651</v>
      </c>
      <c r="P122">
        <v>40330</v>
      </c>
      <c r="Q122" t="s">
        <v>456</v>
      </c>
      <c r="R122">
        <v>2026</v>
      </c>
    </row>
    <row r="123" spans="1:18" x14ac:dyDescent="0.3">
      <c r="A123" t="s">
        <v>457</v>
      </c>
      <c r="B123" t="s">
        <v>454</v>
      </c>
      <c r="C123" t="s">
        <v>458</v>
      </c>
      <c r="D123" t="s">
        <v>21</v>
      </c>
      <c r="E123" t="s">
        <v>44</v>
      </c>
      <c r="F123" t="s">
        <v>96</v>
      </c>
      <c r="G123" t="s">
        <v>89</v>
      </c>
      <c r="H123" t="s">
        <v>154</v>
      </c>
      <c r="I123" t="s">
        <v>45</v>
      </c>
      <c r="J123" t="s">
        <v>27</v>
      </c>
      <c r="K123" t="s">
        <v>28</v>
      </c>
      <c r="L123" t="s">
        <v>39</v>
      </c>
      <c r="M123">
        <v>5</v>
      </c>
      <c r="N123">
        <v>21904</v>
      </c>
      <c r="O123">
        <v>109520</v>
      </c>
      <c r="P123">
        <v>134455</v>
      </c>
      <c r="Q123" t="s">
        <v>459</v>
      </c>
      <c r="R123">
        <v>2026</v>
      </c>
    </row>
    <row r="124" spans="1:18" x14ac:dyDescent="0.3">
      <c r="A124" t="s">
        <v>460</v>
      </c>
      <c r="B124" t="s">
        <v>454</v>
      </c>
      <c r="C124" t="s">
        <v>461</v>
      </c>
      <c r="D124" t="s">
        <v>43</v>
      </c>
      <c r="E124" t="s">
        <v>22</v>
      </c>
      <c r="F124" t="s">
        <v>96</v>
      </c>
      <c r="G124" t="s">
        <v>24</v>
      </c>
      <c r="H124" t="s">
        <v>121</v>
      </c>
      <c r="I124" t="s">
        <v>37</v>
      </c>
      <c r="J124" t="s">
        <v>59</v>
      </c>
      <c r="K124" t="s">
        <v>71</v>
      </c>
      <c r="L124" t="s">
        <v>39</v>
      </c>
      <c r="M124">
        <v>5</v>
      </c>
      <c r="N124">
        <v>26507</v>
      </c>
      <c r="O124">
        <v>132535</v>
      </c>
      <c r="P124">
        <v>110158</v>
      </c>
      <c r="Q124" t="s">
        <v>462</v>
      </c>
      <c r="R124">
        <v>2026</v>
      </c>
    </row>
    <row r="125" spans="1:18" x14ac:dyDescent="0.3">
      <c r="A125" t="s">
        <v>463</v>
      </c>
      <c r="B125" t="s">
        <v>454</v>
      </c>
      <c r="C125" t="s">
        <v>464</v>
      </c>
      <c r="D125" t="s">
        <v>21</v>
      </c>
      <c r="E125" t="s">
        <v>49</v>
      </c>
      <c r="F125" t="s">
        <v>34</v>
      </c>
      <c r="G125" t="s">
        <v>102</v>
      </c>
      <c r="H125" t="s">
        <v>279</v>
      </c>
      <c r="I125" t="s">
        <v>37</v>
      </c>
      <c r="J125" t="s">
        <v>27</v>
      </c>
      <c r="K125" t="s">
        <v>28</v>
      </c>
      <c r="L125" t="s">
        <v>125</v>
      </c>
      <c r="M125">
        <v>1</v>
      </c>
      <c r="N125">
        <v>23057</v>
      </c>
      <c r="O125">
        <v>23057</v>
      </c>
      <c r="P125">
        <v>93479</v>
      </c>
      <c r="Q125" t="s">
        <v>465</v>
      </c>
      <c r="R125">
        <v>2026</v>
      </c>
    </row>
    <row r="126" spans="1:18" x14ac:dyDescent="0.3">
      <c r="A126" t="s">
        <v>466</v>
      </c>
      <c r="B126" t="s">
        <v>454</v>
      </c>
      <c r="C126" t="s">
        <v>467</v>
      </c>
      <c r="D126" t="s">
        <v>64</v>
      </c>
      <c r="E126" t="s">
        <v>57</v>
      </c>
      <c r="F126" t="s">
        <v>34</v>
      </c>
      <c r="G126" t="s">
        <v>24</v>
      </c>
      <c r="H126" t="s">
        <v>200</v>
      </c>
      <c r="I126" t="s">
        <v>45</v>
      </c>
      <c r="J126" t="s">
        <v>59</v>
      </c>
      <c r="K126" t="s">
        <v>71</v>
      </c>
      <c r="L126" t="s">
        <v>60</v>
      </c>
      <c r="M126">
        <v>6</v>
      </c>
      <c r="N126">
        <v>18570</v>
      </c>
      <c r="O126">
        <v>111420</v>
      </c>
      <c r="P126">
        <v>30630</v>
      </c>
      <c r="Q126" t="s">
        <v>468</v>
      </c>
      <c r="R126">
        <v>2026</v>
      </c>
    </row>
    <row r="127" spans="1:18" x14ac:dyDescent="0.3">
      <c r="A127" t="s">
        <v>469</v>
      </c>
      <c r="B127" t="s">
        <v>454</v>
      </c>
      <c r="C127" t="s">
        <v>470</v>
      </c>
      <c r="D127" t="s">
        <v>33</v>
      </c>
      <c r="E127" t="s">
        <v>22</v>
      </c>
      <c r="F127" t="s">
        <v>34</v>
      </c>
      <c r="G127" t="s">
        <v>97</v>
      </c>
      <c r="H127" t="s">
        <v>298</v>
      </c>
      <c r="I127" t="s">
        <v>26</v>
      </c>
      <c r="J127" t="s">
        <v>59</v>
      </c>
      <c r="K127" t="s">
        <v>71</v>
      </c>
      <c r="L127" t="s">
        <v>29</v>
      </c>
      <c r="M127">
        <v>9</v>
      </c>
      <c r="N127">
        <v>28730</v>
      </c>
      <c r="O127">
        <v>258570</v>
      </c>
      <c r="P127">
        <v>115177</v>
      </c>
      <c r="Q127" t="s">
        <v>471</v>
      </c>
      <c r="R127">
        <v>2026</v>
      </c>
    </row>
    <row r="128" spans="1:18" x14ac:dyDescent="0.3">
      <c r="A128" t="s">
        <v>472</v>
      </c>
      <c r="B128" t="s">
        <v>454</v>
      </c>
      <c r="C128" t="s">
        <v>473</v>
      </c>
      <c r="D128" t="s">
        <v>33</v>
      </c>
      <c r="E128" t="s">
        <v>49</v>
      </c>
      <c r="F128" t="s">
        <v>96</v>
      </c>
      <c r="G128" t="s">
        <v>116</v>
      </c>
      <c r="H128" t="s">
        <v>98</v>
      </c>
      <c r="I128" t="s">
        <v>45</v>
      </c>
      <c r="J128" t="s">
        <v>52</v>
      </c>
      <c r="K128" t="s">
        <v>78</v>
      </c>
      <c r="L128" t="s">
        <v>125</v>
      </c>
      <c r="M128">
        <v>5</v>
      </c>
      <c r="N128">
        <v>37996</v>
      </c>
      <c r="O128">
        <v>189980</v>
      </c>
      <c r="P128">
        <v>76221</v>
      </c>
      <c r="Q128" t="s">
        <v>474</v>
      </c>
      <c r="R128">
        <v>2026</v>
      </c>
    </row>
    <row r="129" spans="1:18" x14ac:dyDescent="0.3">
      <c r="A129" t="s">
        <v>475</v>
      </c>
      <c r="B129" t="s">
        <v>454</v>
      </c>
      <c r="C129" t="s">
        <v>476</v>
      </c>
      <c r="D129" t="s">
        <v>21</v>
      </c>
      <c r="E129" t="s">
        <v>57</v>
      </c>
      <c r="F129" t="s">
        <v>75</v>
      </c>
      <c r="G129" t="s">
        <v>116</v>
      </c>
      <c r="H129" t="s">
        <v>154</v>
      </c>
      <c r="I129" t="s">
        <v>26</v>
      </c>
      <c r="J129" t="s">
        <v>59</v>
      </c>
      <c r="K129" t="s">
        <v>38</v>
      </c>
      <c r="L129" t="s">
        <v>125</v>
      </c>
      <c r="M129">
        <v>5</v>
      </c>
      <c r="N129">
        <v>9062</v>
      </c>
      <c r="O129">
        <v>45310</v>
      </c>
      <c r="P129">
        <v>48211</v>
      </c>
      <c r="Q129" t="s">
        <v>477</v>
      </c>
      <c r="R129">
        <v>2026</v>
      </c>
    </row>
    <row r="130" spans="1:18" x14ac:dyDescent="0.3">
      <c r="A130" t="s">
        <v>478</v>
      </c>
      <c r="B130" t="s">
        <v>454</v>
      </c>
      <c r="C130" t="s">
        <v>479</v>
      </c>
      <c r="D130" t="s">
        <v>64</v>
      </c>
      <c r="E130" t="s">
        <v>111</v>
      </c>
      <c r="F130" t="s">
        <v>23</v>
      </c>
      <c r="G130" t="s">
        <v>112</v>
      </c>
      <c r="H130" t="s">
        <v>65</v>
      </c>
      <c r="I130" t="s">
        <v>77</v>
      </c>
      <c r="J130" t="s">
        <v>59</v>
      </c>
      <c r="K130" t="s">
        <v>71</v>
      </c>
      <c r="L130" t="s">
        <v>29</v>
      </c>
      <c r="M130">
        <v>1</v>
      </c>
      <c r="N130">
        <v>19044</v>
      </c>
      <c r="O130">
        <v>19044</v>
      </c>
      <c r="P130">
        <v>68018</v>
      </c>
      <c r="Q130" t="s">
        <v>480</v>
      </c>
      <c r="R130">
        <v>2026</v>
      </c>
    </row>
    <row r="131" spans="1:18" x14ac:dyDescent="0.3">
      <c r="A131" t="s">
        <v>481</v>
      </c>
      <c r="B131" t="s">
        <v>454</v>
      </c>
      <c r="C131" t="s">
        <v>482</v>
      </c>
      <c r="D131" t="s">
        <v>64</v>
      </c>
      <c r="E131" t="s">
        <v>57</v>
      </c>
      <c r="F131" t="s">
        <v>75</v>
      </c>
      <c r="G131" t="s">
        <v>89</v>
      </c>
      <c r="H131" t="s">
        <v>121</v>
      </c>
      <c r="I131" t="s">
        <v>45</v>
      </c>
      <c r="J131" t="s">
        <v>27</v>
      </c>
      <c r="K131" t="s">
        <v>28</v>
      </c>
      <c r="L131" t="s">
        <v>66</v>
      </c>
      <c r="M131">
        <v>8</v>
      </c>
      <c r="N131">
        <v>12741</v>
      </c>
      <c r="O131">
        <v>101928</v>
      </c>
      <c r="P131">
        <v>119046</v>
      </c>
      <c r="Q131" t="s">
        <v>483</v>
      </c>
      <c r="R131">
        <v>2026</v>
      </c>
    </row>
    <row r="132" spans="1:18" x14ac:dyDescent="0.3">
      <c r="A132" t="s">
        <v>484</v>
      </c>
      <c r="B132" t="s">
        <v>454</v>
      </c>
      <c r="C132" t="s">
        <v>485</v>
      </c>
      <c r="D132" t="s">
        <v>43</v>
      </c>
      <c r="E132" t="s">
        <v>44</v>
      </c>
      <c r="F132" t="s">
        <v>23</v>
      </c>
      <c r="G132" t="s">
        <v>116</v>
      </c>
      <c r="H132" t="s">
        <v>228</v>
      </c>
      <c r="I132" t="s">
        <v>26</v>
      </c>
      <c r="J132" t="s">
        <v>52</v>
      </c>
      <c r="K132" t="s">
        <v>28</v>
      </c>
      <c r="L132" t="s">
        <v>125</v>
      </c>
      <c r="M132">
        <v>9</v>
      </c>
      <c r="N132">
        <v>49756</v>
      </c>
      <c r="O132">
        <v>447804</v>
      </c>
      <c r="P132">
        <v>92958</v>
      </c>
      <c r="Q132" t="s">
        <v>486</v>
      </c>
      <c r="R132">
        <v>2026</v>
      </c>
    </row>
    <row r="133" spans="1:18" x14ac:dyDescent="0.3">
      <c r="A133" t="s">
        <v>487</v>
      </c>
      <c r="B133" t="s">
        <v>454</v>
      </c>
      <c r="C133" t="s">
        <v>488</v>
      </c>
      <c r="D133" t="s">
        <v>21</v>
      </c>
      <c r="E133" t="s">
        <v>22</v>
      </c>
      <c r="F133" t="s">
        <v>50</v>
      </c>
      <c r="G133" t="s">
        <v>102</v>
      </c>
      <c r="H133" t="s">
        <v>121</v>
      </c>
      <c r="I133" t="s">
        <v>37</v>
      </c>
      <c r="J133" t="s">
        <v>52</v>
      </c>
      <c r="K133" t="s">
        <v>71</v>
      </c>
      <c r="L133" t="s">
        <v>29</v>
      </c>
      <c r="M133">
        <v>6</v>
      </c>
      <c r="N133">
        <v>16798</v>
      </c>
      <c r="O133">
        <v>100788</v>
      </c>
      <c r="P133">
        <v>35371</v>
      </c>
      <c r="Q133" t="s">
        <v>489</v>
      </c>
      <c r="R133">
        <v>2026</v>
      </c>
    </row>
    <row r="134" spans="1:18" x14ac:dyDescent="0.3">
      <c r="A134" t="s">
        <v>490</v>
      </c>
      <c r="B134" t="s">
        <v>454</v>
      </c>
      <c r="C134" t="s">
        <v>491</v>
      </c>
      <c r="D134" t="s">
        <v>21</v>
      </c>
      <c r="E134" t="s">
        <v>22</v>
      </c>
      <c r="F134" t="s">
        <v>50</v>
      </c>
      <c r="G134" t="s">
        <v>83</v>
      </c>
      <c r="H134" t="s">
        <v>200</v>
      </c>
      <c r="I134" t="s">
        <v>77</v>
      </c>
      <c r="J134" t="s">
        <v>52</v>
      </c>
      <c r="K134" t="s">
        <v>38</v>
      </c>
      <c r="L134" t="s">
        <v>125</v>
      </c>
      <c r="M134">
        <v>3</v>
      </c>
      <c r="N134">
        <v>25370</v>
      </c>
      <c r="O134">
        <v>76110</v>
      </c>
      <c r="P134">
        <v>101385</v>
      </c>
      <c r="Q134" t="s">
        <v>492</v>
      </c>
      <c r="R134">
        <v>2026</v>
      </c>
    </row>
    <row r="135" spans="1:18" x14ac:dyDescent="0.3">
      <c r="A135" t="s">
        <v>493</v>
      </c>
      <c r="B135" t="s">
        <v>454</v>
      </c>
      <c r="C135" t="s">
        <v>494</v>
      </c>
      <c r="D135" t="s">
        <v>33</v>
      </c>
      <c r="E135" t="s">
        <v>111</v>
      </c>
      <c r="F135" t="s">
        <v>34</v>
      </c>
      <c r="G135" t="s">
        <v>97</v>
      </c>
      <c r="H135" t="s">
        <v>228</v>
      </c>
      <c r="I135" t="s">
        <v>77</v>
      </c>
      <c r="J135" t="s">
        <v>59</v>
      </c>
      <c r="K135" t="s">
        <v>71</v>
      </c>
      <c r="L135" t="s">
        <v>39</v>
      </c>
      <c r="M135">
        <v>1</v>
      </c>
      <c r="N135">
        <v>21053</v>
      </c>
      <c r="O135">
        <v>21053</v>
      </c>
      <c r="P135">
        <v>131197</v>
      </c>
      <c r="Q135" t="s">
        <v>495</v>
      </c>
      <c r="R135">
        <v>2026</v>
      </c>
    </row>
    <row r="136" spans="1:18" x14ac:dyDescent="0.3">
      <c r="A136" t="s">
        <v>496</v>
      </c>
      <c r="B136" t="s">
        <v>454</v>
      </c>
      <c r="C136" t="s">
        <v>497</v>
      </c>
      <c r="D136" t="s">
        <v>33</v>
      </c>
      <c r="E136" t="s">
        <v>44</v>
      </c>
      <c r="F136" t="s">
        <v>96</v>
      </c>
      <c r="G136" t="s">
        <v>116</v>
      </c>
      <c r="H136" t="s">
        <v>376</v>
      </c>
      <c r="I136" t="s">
        <v>77</v>
      </c>
      <c r="J136" t="s">
        <v>27</v>
      </c>
      <c r="K136" t="s">
        <v>71</v>
      </c>
      <c r="L136" t="s">
        <v>66</v>
      </c>
      <c r="M136">
        <v>4</v>
      </c>
      <c r="N136">
        <v>3612</v>
      </c>
      <c r="O136">
        <v>14448</v>
      </c>
      <c r="P136">
        <v>50700</v>
      </c>
      <c r="Q136" t="s">
        <v>498</v>
      </c>
      <c r="R136">
        <v>2026</v>
      </c>
    </row>
    <row r="137" spans="1:18" x14ac:dyDescent="0.3">
      <c r="A137" t="s">
        <v>499</v>
      </c>
      <c r="B137" t="s">
        <v>454</v>
      </c>
      <c r="C137" t="s">
        <v>500</v>
      </c>
      <c r="D137" t="s">
        <v>43</v>
      </c>
      <c r="E137" t="s">
        <v>49</v>
      </c>
      <c r="F137" t="s">
        <v>23</v>
      </c>
      <c r="G137" t="s">
        <v>112</v>
      </c>
      <c r="H137" t="s">
        <v>121</v>
      </c>
      <c r="I137" t="s">
        <v>77</v>
      </c>
      <c r="J137" t="s">
        <v>59</v>
      </c>
      <c r="K137" t="s">
        <v>38</v>
      </c>
      <c r="L137" t="s">
        <v>60</v>
      </c>
      <c r="M137">
        <v>9</v>
      </c>
      <c r="N137">
        <v>34785</v>
      </c>
      <c r="O137">
        <v>313065</v>
      </c>
      <c r="P137">
        <v>87360</v>
      </c>
      <c r="Q137" t="s">
        <v>501</v>
      </c>
      <c r="R137">
        <v>2026</v>
      </c>
    </row>
    <row r="138" spans="1:18" x14ac:dyDescent="0.3">
      <c r="A138" t="s">
        <v>502</v>
      </c>
      <c r="B138" t="s">
        <v>454</v>
      </c>
      <c r="C138" t="s">
        <v>503</v>
      </c>
      <c r="D138" t="s">
        <v>33</v>
      </c>
      <c r="E138" t="s">
        <v>22</v>
      </c>
      <c r="F138" t="s">
        <v>50</v>
      </c>
      <c r="G138" t="s">
        <v>89</v>
      </c>
      <c r="H138" t="s">
        <v>58</v>
      </c>
      <c r="I138" t="s">
        <v>45</v>
      </c>
      <c r="J138" t="s">
        <v>52</v>
      </c>
      <c r="K138" t="s">
        <v>71</v>
      </c>
      <c r="L138" t="s">
        <v>125</v>
      </c>
      <c r="M138">
        <v>1</v>
      </c>
      <c r="N138">
        <v>13883</v>
      </c>
      <c r="O138">
        <v>13883</v>
      </c>
      <c r="P138">
        <v>130027</v>
      </c>
      <c r="Q138" t="s">
        <v>504</v>
      </c>
      <c r="R138">
        <v>2026</v>
      </c>
    </row>
    <row r="139" spans="1:18" x14ac:dyDescent="0.3">
      <c r="A139" t="s">
        <v>505</v>
      </c>
      <c r="B139" t="s">
        <v>454</v>
      </c>
      <c r="C139" t="s">
        <v>506</v>
      </c>
      <c r="D139" t="s">
        <v>33</v>
      </c>
      <c r="E139" t="s">
        <v>44</v>
      </c>
      <c r="F139" t="s">
        <v>75</v>
      </c>
      <c r="G139" t="s">
        <v>35</v>
      </c>
      <c r="H139" t="s">
        <v>204</v>
      </c>
      <c r="I139" t="s">
        <v>45</v>
      </c>
      <c r="J139" t="s">
        <v>59</v>
      </c>
      <c r="K139" t="s">
        <v>28</v>
      </c>
      <c r="L139" t="s">
        <v>66</v>
      </c>
      <c r="M139">
        <v>8</v>
      </c>
      <c r="N139">
        <v>49066</v>
      </c>
      <c r="O139">
        <v>392528</v>
      </c>
      <c r="P139">
        <v>92563</v>
      </c>
      <c r="Q139" t="s">
        <v>507</v>
      </c>
      <c r="R139">
        <v>2026</v>
      </c>
    </row>
    <row r="140" spans="1:18" x14ac:dyDescent="0.3">
      <c r="A140" t="s">
        <v>508</v>
      </c>
      <c r="B140" t="s">
        <v>454</v>
      </c>
      <c r="C140" t="s">
        <v>509</v>
      </c>
      <c r="D140" t="s">
        <v>21</v>
      </c>
      <c r="E140" t="s">
        <v>57</v>
      </c>
      <c r="F140" t="s">
        <v>96</v>
      </c>
      <c r="G140" t="s">
        <v>35</v>
      </c>
      <c r="H140" t="s">
        <v>204</v>
      </c>
      <c r="I140" t="s">
        <v>26</v>
      </c>
      <c r="J140" t="s">
        <v>27</v>
      </c>
      <c r="K140" t="s">
        <v>78</v>
      </c>
      <c r="L140" t="s">
        <v>60</v>
      </c>
      <c r="M140">
        <v>1</v>
      </c>
      <c r="N140">
        <v>26571</v>
      </c>
      <c r="O140">
        <v>26571</v>
      </c>
      <c r="P140">
        <v>90494</v>
      </c>
      <c r="Q140" t="s">
        <v>510</v>
      </c>
      <c r="R140">
        <v>2026</v>
      </c>
    </row>
    <row r="141" spans="1:18" x14ac:dyDescent="0.3">
      <c r="A141" t="s">
        <v>511</v>
      </c>
      <c r="B141" t="s">
        <v>454</v>
      </c>
      <c r="C141" t="s">
        <v>512</v>
      </c>
      <c r="D141" t="s">
        <v>33</v>
      </c>
      <c r="E141" t="s">
        <v>111</v>
      </c>
      <c r="F141" t="s">
        <v>44</v>
      </c>
      <c r="G141" t="s">
        <v>83</v>
      </c>
      <c r="H141" t="s">
        <v>154</v>
      </c>
      <c r="I141" t="s">
        <v>37</v>
      </c>
      <c r="J141" t="s">
        <v>59</v>
      </c>
      <c r="K141" t="s">
        <v>71</v>
      </c>
      <c r="L141" t="s">
        <v>53</v>
      </c>
      <c r="M141">
        <v>1</v>
      </c>
      <c r="N141">
        <v>2906</v>
      </c>
      <c r="O141">
        <v>2906</v>
      </c>
      <c r="P141">
        <v>39152</v>
      </c>
      <c r="Q141" t="s">
        <v>513</v>
      </c>
      <c r="R141">
        <v>2026</v>
      </c>
    </row>
    <row r="142" spans="1:18" x14ac:dyDescent="0.3">
      <c r="A142" t="s">
        <v>514</v>
      </c>
      <c r="B142" t="s">
        <v>454</v>
      </c>
      <c r="C142" t="s">
        <v>515</v>
      </c>
      <c r="D142" t="s">
        <v>21</v>
      </c>
      <c r="E142" t="s">
        <v>82</v>
      </c>
      <c r="F142" t="s">
        <v>50</v>
      </c>
      <c r="G142" t="s">
        <v>83</v>
      </c>
      <c r="H142" t="s">
        <v>279</v>
      </c>
      <c r="I142" t="s">
        <v>26</v>
      </c>
      <c r="J142" t="s">
        <v>52</v>
      </c>
      <c r="K142" t="s">
        <v>38</v>
      </c>
      <c r="L142" t="s">
        <v>53</v>
      </c>
      <c r="M142">
        <v>8</v>
      </c>
      <c r="N142">
        <v>46255</v>
      </c>
      <c r="O142">
        <v>370040</v>
      </c>
      <c r="P142">
        <v>109748</v>
      </c>
      <c r="Q142" t="s">
        <v>516</v>
      </c>
      <c r="R142">
        <v>2026</v>
      </c>
    </row>
    <row r="143" spans="1:18" x14ac:dyDescent="0.3">
      <c r="A143" t="s">
        <v>517</v>
      </c>
      <c r="B143" t="s">
        <v>454</v>
      </c>
      <c r="C143" t="s">
        <v>518</v>
      </c>
      <c r="D143" t="s">
        <v>43</v>
      </c>
      <c r="E143" t="s">
        <v>111</v>
      </c>
      <c r="F143" t="s">
        <v>96</v>
      </c>
      <c r="G143" t="s">
        <v>35</v>
      </c>
      <c r="H143" t="s">
        <v>154</v>
      </c>
      <c r="I143" t="s">
        <v>45</v>
      </c>
      <c r="J143" t="s">
        <v>52</v>
      </c>
      <c r="K143" t="s">
        <v>78</v>
      </c>
      <c r="L143" t="s">
        <v>125</v>
      </c>
      <c r="M143">
        <v>9</v>
      </c>
      <c r="N143">
        <v>1216</v>
      </c>
      <c r="O143">
        <v>10944</v>
      </c>
      <c r="P143">
        <v>99498</v>
      </c>
      <c r="Q143" t="s">
        <v>519</v>
      </c>
      <c r="R143">
        <v>2026</v>
      </c>
    </row>
    <row r="144" spans="1:18" x14ac:dyDescent="0.3">
      <c r="A144" t="s">
        <v>520</v>
      </c>
      <c r="B144" t="s">
        <v>454</v>
      </c>
      <c r="C144" t="s">
        <v>521</v>
      </c>
      <c r="D144" t="s">
        <v>43</v>
      </c>
      <c r="E144" t="s">
        <v>22</v>
      </c>
      <c r="F144" t="s">
        <v>75</v>
      </c>
      <c r="G144" t="s">
        <v>97</v>
      </c>
      <c r="H144" t="s">
        <v>98</v>
      </c>
      <c r="I144" t="s">
        <v>26</v>
      </c>
      <c r="J144" t="s">
        <v>59</v>
      </c>
      <c r="K144" t="s">
        <v>38</v>
      </c>
      <c r="L144" t="s">
        <v>125</v>
      </c>
      <c r="M144">
        <v>8</v>
      </c>
      <c r="N144">
        <v>17345</v>
      </c>
      <c r="O144">
        <v>138760</v>
      </c>
      <c r="P144">
        <v>103235</v>
      </c>
      <c r="Q144" t="s">
        <v>522</v>
      </c>
      <c r="R144">
        <v>2026</v>
      </c>
    </row>
    <row r="145" spans="1:18" x14ac:dyDescent="0.3">
      <c r="A145" t="s">
        <v>523</v>
      </c>
      <c r="B145" t="s">
        <v>454</v>
      </c>
      <c r="C145" t="s">
        <v>524</v>
      </c>
      <c r="D145" t="s">
        <v>43</v>
      </c>
      <c r="E145" t="s">
        <v>82</v>
      </c>
      <c r="F145" t="s">
        <v>34</v>
      </c>
      <c r="G145" t="s">
        <v>83</v>
      </c>
      <c r="H145" t="s">
        <v>279</v>
      </c>
      <c r="I145" t="s">
        <v>77</v>
      </c>
      <c r="J145" t="s">
        <v>52</v>
      </c>
      <c r="K145" t="s">
        <v>78</v>
      </c>
      <c r="L145" t="s">
        <v>29</v>
      </c>
      <c r="M145">
        <v>6</v>
      </c>
      <c r="N145">
        <v>22079</v>
      </c>
      <c r="O145">
        <v>132474</v>
      </c>
      <c r="P145">
        <v>52419</v>
      </c>
      <c r="Q145" t="s">
        <v>303</v>
      </c>
      <c r="R145">
        <v>2026</v>
      </c>
    </row>
    <row r="146" spans="1:18" x14ac:dyDescent="0.3">
      <c r="A146" t="s">
        <v>525</v>
      </c>
      <c r="B146" t="s">
        <v>454</v>
      </c>
      <c r="C146" t="s">
        <v>526</v>
      </c>
      <c r="D146" t="s">
        <v>21</v>
      </c>
      <c r="E146" t="s">
        <v>49</v>
      </c>
      <c r="F146" t="s">
        <v>23</v>
      </c>
      <c r="G146" t="s">
        <v>83</v>
      </c>
      <c r="H146" t="s">
        <v>65</v>
      </c>
      <c r="I146" t="s">
        <v>45</v>
      </c>
      <c r="J146" t="s">
        <v>27</v>
      </c>
      <c r="K146" t="s">
        <v>28</v>
      </c>
      <c r="L146" t="s">
        <v>125</v>
      </c>
      <c r="M146">
        <v>4</v>
      </c>
      <c r="N146">
        <v>21767</v>
      </c>
      <c r="O146">
        <v>87068</v>
      </c>
      <c r="P146">
        <v>119159</v>
      </c>
      <c r="Q146" t="s">
        <v>527</v>
      </c>
      <c r="R146">
        <v>2026</v>
      </c>
    </row>
    <row r="147" spans="1:18" x14ac:dyDescent="0.3">
      <c r="A147" t="s">
        <v>528</v>
      </c>
      <c r="B147" t="s">
        <v>454</v>
      </c>
      <c r="C147" t="s">
        <v>529</v>
      </c>
      <c r="D147" t="s">
        <v>64</v>
      </c>
      <c r="E147" t="s">
        <v>82</v>
      </c>
      <c r="F147" t="s">
        <v>50</v>
      </c>
      <c r="G147" t="s">
        <v>89</v>
      </c>
      <c r="H147" t="s">
        <v>25</v>
      </c>
      <c r="I147" t="s">
        <v>77</v>
      </c>
      <c r="J147" t="s">
        <v>59</v>
      </c>
      <c r="K147" t="s">
        <v>28</v>
      </c>
      <c r="L147" t="s">
        <v>117</v>
      </c>
      <c r="M147">
        <v>6</v>
      </c>
      <c r="N147">
        <v>4288</v>
      </c>
      <c r="O147">
        <v>25728</v>
      </c>
      <c r="P147">
        <v>90347</v>
      </c>
      <c r="Q147" t="s">
        <v>530</v>
      </c>
      <c r="R147">
        <v>2026</v>
      </c>
    </row>
    <row r="148" spans="1:18" x14ac:dyDescent="0.3">
      <c r="A148" t="s">
        <v>531</v>
      </c>
      <c r="B148" t="s">
        <v>454</v>
      </c>
      <c r="C148" t="s">
        <v>532</v>
      </c>
      <c r="D148" t="s">
        <v>33</v>
      </c>
      <c r="E148" t="s">
        <v>49</v>
      </c>
      <c r="F148" t="s">
        <v>23</v>
      </c>
      <c r="G148" t="s">
        <v>97</v>
      </c>
      <c r="H148" t="s">
        <v>51</v>
      </c>
      <c r="I148" t="s">
        <v>26</v>
      </c>
      <c r="J148" t="s">
        <v>59</v>
      </c>
      <c r="K148" t="s">
        <v>71</v>
      </c>
      <c r="L148" t="s">
        <v>53</v>
      </c>
      <c r="M148">
        <v>3</v>
      </c>
      <c r="N148">
        <v>7098</v>
      </c>
      <c r="O148">
        <v>21294</v>
      </c>
      <c r="P148">
        <v>86452</v>
      </c>
      <c r="Q148" t="s">
        <v>533</v>
      </c>
      <c r="R148">
        <v>2026</v>
      </c>
    </row>
    <row r="149" spans="1:18" x14ac:dyDescent="0.3">
      <c r="A149" t="s">
        <v>534</v>
      </c>
      <c r="B149" t="s">
        <v>454</v>
      </c>
      <c r="C149" t="s">
        <v>535</v>
      </c>
      <c r="D149" t="s">
        <v>64</v>
      </c>
      <c r="E149" t="s">
        <v>49</v>
      </c>
      <c r="F149" t="s">
        <v>44</v>
      </c>
      <c r="G149" t="s">
        <v>116</v>
      </c>
      <c r="H149" t="s">
        <v>58</v>
      </c>
      <c r="I149" t="s">
        <v>37</v>
      </c>
      <c r="J149" t="s">
        <v>52</v>
      </c>
      <c r="K149" t="s">
        <v>28</v>
      </c>
      <c r="L149" t="s">
        <v>66</v>
      </c>
      <c r="M149">
        <v>9</v>
      </c>
      <c r="N149">
        <v>35083</v>
      </c>
      <c r="O149">
        <v>315747</v>
      </c>
      <c r="P149">
        <v>97235</v>
      </c>
      <c r="Q149" t="s">
        <v>536</v>
      </c>
      <c r="R149">
        <v>2026</v>
      </c>
    </row>
    <row r="150" spans="1:18" x14ac:dyDescent="0.3">
      <c r="A150" t="s">
        <v>537</v>
      </c>
      <c r="B150" t="s">
        <v>454</v>
      </c>
      <c r="C150" t="s">
        <v>538</v>
      </c>
      <c r="D150" t="s">
        <v>43</v>
      </c>
      <c r="E150" t="s">
        <v>111</v>
      </c>
      <c r="F150" t="s">
        <v>44</v>
      </c>
      <c r="G150" t="s">
        <v>112</v>
      </c>
      <c r="H150" t="s">
        <v>103</v>
      </c>
      <c r="I150" t="s">
        <v>77</v>
      </c>
      <c r="J150" t="s">
        <v>27</v>
      </c>
      <c r="K150" t="s">
        <v>71</v>
      </c>
      <c r="L150" t="s">
        <v>66</v>
      </c>
      <c r="M150">
        <v>1</v>
      </c>
      <c r="N150">
        <v>32090</v>
      </c>
      <c r="O150">
        <v>32090</v>
      </c>
      <c r="P150">
        <v>110627</v>
      </c>
      <c r="Q150" t="s">
        <v>276</v>
      </c>
      <c r="R150">
        <v>2026</v>
      </c>
    </row>
    <row r="151" spans="1:18" x14ac:dyDescent="0.3">
      <c r="A151" t="s">
        <v>539</v>
      </c>
      <c r="B151" t="s">
        <v>454</v>
      </c>
      <c r="C151" t="s">
        <v>540</v>
      </c>
      <c r="D151" t="s">
        <v>43</v>
      </c>
      <c r="E151" t="s">
        <v>49</v>
      </c>
      <c r="F151" t="s">
        <v>96</v>
      </c>
      <c r="G151" t="s">
        <v>83</v>
      </c>
      <c r="H151" t="s">
        <v>139</v>
      </c>
      <c r="I151" t="s">
        <v>45</v>
      </c>
      <c r="J151" t="s">
        <v>27</v>
      </c>
      <c r="K151" t="s">
        <v>28</v>
      </c>
      <c r="L151" t="s">
        <v>125</v>
      </c>
      <c r="M151">
        <v>7</v>
      </c>
      <c r="N151">
        <v>34585</v>
      </c>
      <c r="O151">
        <v>242095</v>
      </c>
      <c r="P151">
        <v>36431</v>
      </c>
      <c r="Q151" t="s">
        <v>541</v>
      </c>
      <c r="R151">
        <v>2026</v>
      </c>
    </row>
    <row r="152" spans="1:18" x14ac:dyDescent="0.3">
      <c r="A152" t="s">
        <v>542</v>
      </c>
      <c r="B152" t="s">
        <v>454</v>
      </c>
      <c r="C152" t="s">
        <v>543</v>
      </c>
      <c r="D152" t="s">
        <v>21</v>
      </c>
      <c r="E152" t="s">
        <v>44</v>
      </c>
      <c r="F152" t="s">
        <v>96</v>
      </c>
      <c r="G152" t="s">
        <v>116</v>
      </c>
      <c r="H152" t="s">
        <v>98</v>
      </c>
      <c r="I152" t="s">
        <v>45</v>
      </c>
      <c r="J152" t="s">
        <v>52</v>
      </c>
      <c r="K152" t="s">
        <v>38</v>
      </c>
      <c r="L152" t="s">
        <v>85</v>
      </c>
      <c r="M152">
        <v>6</v>
      </c>
      <c r="N152">
        <v>38417</v>
      </c>
      <c r="O152">
        <v>230502</v>
      </c>
      <c r="P152">
        <v>68242</v>
      </c>
      <c r="Q152" t="s">
        <v>544</v>
      </c>
      <c r="R152">
        <v>2026</v>
      </c>
    </row>
    <row r="153" spans="1:18" x14ac:dyDescent="0.3">
      <c r="A153" t="s">
        <v>545</v>
      </c>
      <c r="B153" t="s">
        <v>546</v>
      </c>
      <c r="C153" t="s">
        <v>547</v>
      </c>
      <c r="D153" t="s">
        <v>64</v>
      </c>
      <c r="E153" t="s">
        <v>49</v>
      </c>
      <c r="F153" t="s">
        <v>34</v>
      </c>
      <c r="G153" t="s">
        <v>102</v>
      </c>
      <c r="H153" t="s">
        <v>139</v>
      </c>
      <c r="I153" t="s">
        <v>77</v>
      </c>
      <c r="J153" t="s">
        <v>52</v>
      </c>
      <c r="K153" t="s">
        <v>71</v>
      </c>
      <c r="L153" t="s">
        <v>60</v>
      </c>
      <c r="M153">
        <v>5</v>
      </c>
      <c r="N153">
        <v>26612</v>
      </c>
      <c r="O153">
        <v>133060</v>
      </c>
      <c r="P153">
        <v>46986</v>
      </c>
      <c r="Q153" t="s">
        <v>548</v>
      </c>
      <c r="R153">
        <v>2026</v>
      </c>
    </row>
    <row r="154" spans="1:18" x14ac:dyDescent="0.3">
      <c r="A154" t="s">
        <v>549</v>
      </c>
      <c r="B154" t="s">
        <v>546</v>
      </c>
      <c r="C154" t="s">
        <v>550</v>
      </c>
      <c r="D154" t="s">
        <v>43</v>
      </c>
      <c r="E154" t="s">
        <v>82</v>
      </c>
      <c r="F154" t="s">
        <v>34</v>
      </c>
      <c r="G154" t="s">
        <v>102</v>
      </c>
      <c r="H154" t="s">
        <v>76</v>
      </c>
      <c r="I154" t="s">
        <v>45</v>
      </c>
      <c r="J154" t="s">
        <v>52</v>
      </c>
      <c r="K154" t="s">
        <v>78</v>
      </c>
      <c r="L154" t="s">
        <v>85</v>
      </c>
      <c r="M154">
        <v>9</v>
      </c>
      <c r="N154">
        <v>16282</v>
      </c>
      <c r="O154">
        <v>146538</v>
      </c>
      <c r="P154">
        <v>140798</v>
      </c>
      <c r="Q154" t="s">
        <v>551</v>
      </c>
      <c r="R154">
        <v>2026</v>
      </c>
    </row>
    <row r="155" spans="1:18" x14ac:dyDescent="0.3">
      <c r="A155" t="s">
        <v>552</v>
      </c>
      <c r="B155" t="s">
        <v>546</v>
      </c>
      <c r="C155" t="s">
        <v>553</v>
      </c>
      <c r="D155" t="s">
        <v>21</v>
      </c>
      <c r="E155" t="s">
        <v>49</v>
      </c>
      <c r="F155" t="s">
        <v>50</v>
      </c>
      <c r="G155" t="s">
        <v>102</v>
      </c>
      <c r="H155" t="s">
        <v>279</v>
      </c>
      <c r="I155" t="s">
        <v>77</v>
      </c>
      <c r="J155" t="s">
        <v>27</v>
      </c>
      <c r="K155" t="s">
        <v>38</v>
      </c>
      <c r="L155" t="s">
        <v>117</v>
      </c>
      <c r="M155">
        <v>6</v>
      </c>
      <c r="N155">
        <v>45448</v>
      </c>
      <c r="O155">
        <v>272688</v>
      </c>
      <c r="P155">
        <v>32162</v>
      </c>
      <c r="Q155" t="s">
        <v>554</v>
      </c>
      <c r="R155">
        <v>2026</v>
      </c>
    </row>
    <row r="156" spans="1:18" x14ac:dyDescent="0.3">
      <c r="A156" t="s">
        <v>555</v>
      </c>
      <c r="B156" t="s">
        <v>546</v>
      </c>
      <c r="C156" t="s">
        <v>556</v>
      </c>
      <c r="D156" t="s">
        <v>33</v>
      </c>
      <c r="E156" t="s">
        <v>111</v>
      </c>
      <c r="F156" t="s">
        <v>44</v>
      </c>
      <c r="G156" t="s">
        <v>83</v>
      </c>
      <c r="H156" t="s">
        <v>177</v>
      </c>
      <c r="I156" t="s">
        <v>45</v>
      </c>
      <c r="J156" t="s">
        <v>59</v>
      </c>
      <c r="K156" t="s">
        <v>38</v>
      </c>
      <c r="L156" t="s">
        <v>125</v>
      </c>
      <c r="M156">
        <v>5</v>
      </c>
      <c r="N156">
        <v>44420</v>
      </c>
      <c r="O156">
        <v>222100</v>
      </c>
      <c r="P156">
        <v>139702</v>
      </c>
      <c r="Q156" t="s">
        <v>557</v>
      </c>
      <c r="R156">
        <v>2026</v>
      </c>
    </row>
    <row r="157" spans="1:18" x14ac:dyDescent="0.3">
      <c r="A157" t="s">
        <v>558</v>
      </c>
      <c r="B157" t="s">
        <v>546</v>
      </c>
      <c r="C157" t="s">
        <v>559</v>
      </c>
      <c r="D157" t="s">
        <v>64</v>
      </c>
      <c r="E157" t="s">
        <v>111</v>
      </c>
      <c r="F157" t="s">
        <v>44</v>
      </c>
      <c r="G157" t="s">
        <v>112</v>
      </c>
      <c r="H157" t="s">
        <v>309</v>
      </c>
      <c r="I157" t="s">
        <v>37</v>
      </c>
      <c r="J157" t="s">
        <v>59</v>
      </c>
      <c r="K157" t="s">
        <v>28</v>
      </c>
      <c r="L157" t="s">
        <v>39</v>
      </c>
      <c r="M157">
        <v>5</v>
      </c>
      <c r="N157">
        <v>44599</v>
      </c>
      <c r="O157">
        <v>222995</v>
      </c>
      <c r="P157">
        <v>49942</v>
      </c>
      <c r="Q157" t="s">
        <v>560</v>
      </c>
      <c r="R157">
        <v>2026</v>
      </c>
    </row>
    <row r="158" spans="1:18" x14ac:dyDescent="0.3">
      <c r="A158" t="s">
        <v>561</v>
      </c>
      <c r="B158" t="s">
        <v>546</v>
      </c>
      <c r="C158" t="s">
        <v>562</v>
      </c>
      <c r="D158" t="s">
        <v>43</v>
      </c>
      <c r="E158" t="s">
        <v>44</v>
      </c>
      <c r="F158" t="s">
        <v>75</v>
      </c>
      <c r="G158" t="s">
        <v>102</v>
      </c>
      <c r="H158" t="s">
        <v>298</v>
      </c>
      <c r="I158" t="s">
        <v>26</v>
      </c>
      <c r="J158" t="s">
        <v>52</v>
      </c>
      <c r="K158" t="s">
        <v>78</v>
      </c>
      <c r="L158" t="s">
        <v>29</v>
      </c>
      <c r="M158">
        <v>1</v>
      </c>
      <c r="N158">
        <v>42137</v>
      </c>
      <c r="O158">
        <v>42137</v>
      </c>
      <c r="P158">
        <v>62396</v>
      </c>
      <c r="Q158" t="s">
        <v>563</v>
      </c>
      <c r="R158">
        <v>2026</v>
      </c>
    </row>
    <row r="159" spans="1:18" x14ac:dyDescent="0.3">
      <c r="A159" t="s">
        <v>564</v>
      </c>
      <c r="B159" t="s">
        <v>546</v>
      </c>
      <c r="C159" t="s">
        <v>565</v>
      </c>
      <c r="D159" t="s">
        <v>21</v>
      </c>
      <c r="E159" t="s">
        <v>49</v>
      </c>
      <c r="F159" t="s">
        <v>96</v>
      </c>
      <c r="G159" t="s">
        <v>24</v>
      </c>
      <c r="H159" t="s">
        <v>143</v>
      </c>
      <c r="I159" t="s">
        <v>45</v>
      </c>
      <c r="J159" t="s">
        <v>59</v>
      </c>
      <c r="K159" t="s">
        <v>71</v>
      </c>
      <c r="L159" t="s">
        <v>29</v>
      </c>
      <c r="M159">
        <v>7</v>
      </c>
      <c r="N159">
        <v>11556</v>
      </c>
      <c r="O159">
        <v>80892</v>
      </c>
      <c r="P159">
        <v>27223</v>
      </c>
      <c r="Q159" t="s">
        <v>566</v>
      </c>
      <c r="R159">
        <v>2026</v>
      </c>
    </row>
    <row r="160" spans="1:18" x14ac:dyDescent="0.3">
      <c r="A160" t="s">
        <v>567</v>
      </c>
      <c r="B160" t="s">
        <v>546</v>
      </c>
      <c r="C160" t="s">
        <v>568</v>
      </c>
      <c r="D160" t="s">
        <v>64</v>
      </c>
      <c r="E160" t="s">
        <v>111</v>
      </c>
      <c r="F160" t="s">
        <v>34</v>
      </c>
      <c r="G160" t="s">
        <v>112</v>
      </c>
      <c r="H160" t="s">
        <v>279</v>
      </c>
      <c r="I160" t="s">
        <v>37</v>
      </c>
      <c r="J160" t="s">
        <v>59</v>
      </c>
      <c r="K160" t="s">
        <v>38</v>
      </c>
      <c r="L160" t="s">
        <v>29</v>
      </c>
      <c r="M160">
        <v>9</v>
      </c>
      <c r="N160">
        <v>34272</v>
      </c>
      <c r="O160">
        <v>308448</v>
      </c>
      <c r="P160">
        <v>75251</v>
      </c>
      <c r="Q160" t="s">
        <v>569</v>
      </c>
      <c r="R160">
        <v>2026</v>
      </c>
    </row>
    <row r="161" spans="1:18" x14ac:dyDescent="0.3">
      <c r="A161" t="s">
        <v>570</v>
      </c>
      <c r="B161" t="s">
        <v>546</v>
      </c>
      <c r="C161" t="s">
        <v>571</v>
      </c>
      <c r="D161" t="s">
        <v>43</v>
      </c>
      <c r="E161" t="s">
        <v>111</v>
      </c>
      <c r="F161" t="s">
        <v>96</v>
      </c>
      <c r="G161" t="s">
        <v>35</v>
      </c>
      <c r="H161" t="s">
        <v>36</v>
      </c>
      <c r="I161" t="s">
        <v>77</v>
      </c>
      <c r="J161" t="s">
        <v>27</v>
      </c>
      <c r="K161" t="s">
        <v>28</v>
      </c>
      <c r="L161" t="s">
        <v>85</v>
      </c>
      <c r="M161">
        <v>7</v>
      </c>
      <c r="N161">
        <v>49974</v>
      </c>
      <c r="O161">
        <v>349818</v>
      </c>
      <c r="P161">
        <v>52710</v>
      </c>
      <c r="Q161" t="s">
        <v>572</v>
      </c>
      <c r="R161">
        <v>2026</v>
      </c>
    </row>
    <row r="162" spans="1:18" x14ac:dyDescent="0.3">
      <c r="A162" t="s">
        <v>573</v>
      </c>
      <c r="B162" t="s">
        <v>546</v>
      </c>
      <c r="C162" t="s">
        <v>574</v>
      </c>
      <c r="D162" t="s">
        <v>64</v>
      </c>
      <c r="E162" t="s">
        <v>82</v>
      </c>
      <c r="F162" t="s">
        <v>44</v>
      </c>
      <c r="G162" t="s">
        <v>89</v>
      </c>
      <c r="H162" t="s">
        <v>143</v>
      </c>
      <c r="I162" t="s">
        <v>26</v>
      </c>
      <c r="J162" t="s">
        <v>59</v>
      </c>
      <c r="K162" t="s">
        <v>38</v>
      </c>
      <c r="L162" t="s">
        <v>39</v>
      </c>
      <c r="M162">
        <v>7</v>
      </c>
      <c r="N162">
        <v>17095</v>
      </c>
      <c r="O162">
        <v>119665</v>
      </c>
      <c r="P162">
        <v>28174</v>
      </c>
      <c r="Q162" t="s">
        <v>575</v>
      </c>
      <c r="R162">
        <v>2026</v>
      </c>
    </row>
    <row r="163" spans="1:18" x14ac:dyDescent="0.3">
      <c r="A163" t="s">
        <v>576</v>
      </c>
      <c r="B163" t="s">
        <v>546</v>
      </c>
      <c r="C163" t="s">
        <v>577</v>
      </c>
      <c r="D163" t="s">
        <v>64</v>
      </c>
      <c r="E163" t="s">
        <v>22</v>
      </c>
      <c r="F163" t="s">
        <v>96</v>
      </c>
      <c r="G163" t="s">
        <v>24</v>
      </c>
      <c r="H163" t="s">
        <v>279</v>
      </c>
      <c r="I163" t="s">
        <v>45</v>
      </c>
      <c r="J163" t="s">
        <v>27</v>
      </c>
      <c r="K163" t="s">
        <v>38</v>
      </c>
      <c r="L163" t="s">
        <v>85</v>
      </c>
      <c r="M163">
        <v>9</v>
      </c>
      <c r="N163">
        <v>8293</v>
      </c>
      <c r="O163">
        <v>74637</v>
      </c>
      <c r="P163">
        <v>19072</v>
      </c>
      <c r="Q163" t="s">
        <v>578</v>
      </c>
      <c r="R163">
        <v>2026</v>
      </c>
    </row>
    <row r="164" spans="1:18" x14ac:dyDescent="0.3">
      <c r="A164" t="s">
        <v>579</v>
      </c>
      <c r="B164" t="s">
        <v>546</v>
      </c>
      <c r="C164" t="s">
        <v>580</v>
      </c>
      <c r="D164" t="s">
        <v>43</v>
      </c>
      <c r="E164" t="s">
        <v>57</v>
      </c>
      <c r="F164" t="s">
        <v>50</v>
      </c>
      <c r="G164" t="s">
        <v>102</v>
      </c>
      <c r="H164" t="s">
        <v>177</v>
      </c>
      <c r="I164" t="s">
        <v>37</v>
      </c>
      <c r="J164" t="s">
        <v>52</v>
      </c>
      <c r="K164" t="s">
        <v>28</v>
      </c>
      <c r="L164" t="s">
        <v>60</v>
      </c>
      <c r="M164">
        <v>2</v>
      </c>
      <c r="N164">
        <v>19593</v>
      </c>
      <c r="O164">
        <v>39186</v>
      </c>
      <c r="P164">
        <v>126621</v>
      </c>
      <c r="Q164" t="s">
        <v>581</v>
      </c>
      <c r="R164">
        <v>2026</v>
      </c>
    </row>
    <row r="165" spans="1:18" x14ac:dyDescent="0.3">
      <c r="A165" t="s">
        <v>582</v>
      </c>
      <c r="B165" t="s">
        <v>546</v>
      </c>
      <c r="C165" t="s">
        <v>583</v>
      </c>
      <c r="D165" t="s">
        <v>64</v>
      </c>
      <c r="E165" t="s">
        <v>44</v>
      </c>
      <c r="F165" t="s">
        <v>23</v>
      </c>
      <c r="G165" t="s">
        <v>89</v>
      </c>
      <c r="H165" t="s">
        <v>298</v>
      </c>
      <c r="I165" t="s">
        <v>45</v>
      </c>
      <c r="J165" t="s">
        <v>59</v>
      </c>
      <c r="K165" t="s">
        <v>28</v>
      </c>
      <c r="L165" t="s">
        <v>85</v>
      </c>
      <c r="M165">
        <v>8</v>
      </c>
      <c r="N165">
        <v>46206</v>
      </c>
      <c r="O165">
        <v>369648</v>
      </c>
      <c r="P165">
        <v>97933</v>
      </c>
      <c r="Q165" t="s">
        <v>584</v>
      </c>
      <c r="R165">
        <v>2026</v>
      </c>
    </row>
    <row r="166" spans="1:18" x14ac:dyDescent="0.3">
      <c r="A166" t="s">
        <v>585</v>
      </c>
      <c r="B166" t="s">
        <v>546</v>
      </c>
      <c r="C166" t="s">
        <v>586</v>
      </c>
      <c r="D166" t="s">
        <v>64</v>
      </c>
      <c r="E166" t="s">
        <v>111</v>
      </c>
      <c r="F166" t="s">
        <v>96</v>
      </c>
      <c r="G166" t="s">
        <v>83</v>
      </c>
      <c r="H166" t="s">
        <v>121</v>
      </c>
      <c r="I166" t="s">
        <v>77</v>
      </c>
      <c r="J166" t="s">
        <v>27</v>
      </c>
      <c r="K166" t="s">
        <v>38</v>
      </c>
      <c r="L166" t="s">
        <v>125</v>
      </c>
      <c r="M166">
        <v>4</v>
      </c>
      <c r="N166">
        <v>29340</v>
      </c>
      <c r="O166">
        <v>117360</v>
      </c>
      <c r="P166">
        <v>146251</v>
      </c>
      <c r="Q166" t="s">
        <v>587</v>
      </c>
      <c r="R166">
        <v>2026</v>
      </c>
    </row>
    <row r="167" spans="1:18" x14ac:dyDescent="0.3">
      <c r="A167" t="s">
        <v>588</v>
      </c>
      <c r="B167" t="s">
        <v>546</v>
      </c>
      <c r="C167" t="s">
        <v>589</v>
      </c>
      <c r="D167" t="s">
        <v>43</v>
      </c>
      <c r="E167" t="s">
        <v>82</v>
      </c>
      <c r="F167" t="s">
        <v>96</v>
      </c>
      <c r="G167" t="s">
        <v>89</v>
      </c>
      <c r="H167" t="s">
        <v>228</v>
      </c>
      <c r="I167" t="s">
        <v>37</v>
      </c>
      <c r="J167" t="s">
        <v>52</v>
      </c>
      <c r="K167" t="s">
        <v>38</v>
      </c>
      <c r="L167" t="s">
        <v>117</v>
      </c>
      <c r="M167">
        <v>7</v>
      </c>
      <c r="N167">
        <v>49783</v>
      </c>
      <c r="O167">
        <v>348481</v>
      </c>
      <c r="P167">
        <v>59287</v>
      </c>
      <c r="Q167" t="s">
        <v>590</v>
      </c>
      <c r="R167">
        <v>2026</v>
      </c>
    </row>
    <row r="168" spans="1:18" x14ac:dyDescent="0.3">
      <c r="A168" t="s">
        <v>591</v>
      </c>
      <c r="B168" t="s">
        <v>546</v>
      </c>
      <c r="C168" t="s">
        <v>592</v>
      </c>
      <c r="D168" t="s">
        <v>43</v>
      </c>
      <c r="E168" t="s">
        <v>111</v>
      </c>
      <c r="F168" t="s">
        <v>50</v>
      </c>
      <c r="G168" t="s">
        <v>89</v>
      </c>
      <c r="H168" t="s">
        <v>147</v>
      </c>
      <c r="I168" t="s">
        <v>77</v>
      </c>
      <c r="J168" t="s">
        <v>27</v>
      </c>
      <c r="K168" t="s">
        <v>71</v>
      </c>
      <c r="L168" t="s">
        <v>66</v>
      </c>
      <c r="M168">
        <v>6</v>
      </c>
      <c r="N168">
        <v>14930</v>
      </c>
      <c r="O168">
        <v>89580</v>
      </c>
      <c r="P168">
        <v>70137</v>
      </c>
      <c r="Q168" t="s">
        <v>593</v>
      </c>
      <c r="R168">
        <v>2026</v>
      </c>
    </row>
    <row r="169" spans="1:18" x14ac:dyDescent="0.3">
      <c r="A169" t="s">
        <v>594</v>
      </c>
      <c r="B169" t="s">
        <v>546</v>
      </c>
      <c r="C169" t="s">
        <v>595</v>
      </c>
      <c r="D169" t="s">
        <v>64</v>
      </c>
      <c r="E169" t="s">
        <v>22</v>
      </c>
      <c r="F169" t="s">
        <v>96</v>
      </c>
      <c r="G169" t="s">
        <v>24</v>
      </c>
      <c r="H169" t="s">
        <v>211</v>
      </c>
      <c r="I169" t="s">
        <v>37</v>
      </c>
      <c r="J169" t="s">
        <v>59</v>
      </c>
      <c r="K169" t="s">
        <v>38</v>
      </c>
      <c r="L169" t="s">
        <v>60</v>
      </c>
      <c r="M169">
        <v>7</v>
      </c>
      <c r="N169">
        <v>6274</v>
      </c>
      <c r="O169">
        <v>43918</v>
      </c>
      <c r="P169">
        <v>110542</v>
      </c>
      <c r="Q169" t="s">
        <v>596</v>
      </c>
      <c r="R169">
        <v>2026</v>
      </c>
    </row>
    <row r="170" spans="1:18" x14ac:dyDescent="0.3">
      <c r="A170" t="s">
        <v>597</v>
      </c>
      <c r="B170" t="s">
        <v>546</v>
      </c>
      <c r="C170" t="s">
        <v>598</v>
      </c>
      <c r="D170" t="s">
        <v>33</v>
      </c>
      <c r="E170" t="s">
        <v>22</v>
      </c>
      <c r="F170" t="s">
        <v>50</v>
      </c>
      <c r="G170" t="s">
        <v>35</v>
      </c>
      <c r="H170" t="s">
        <v>309</v>
      </c>
      <c r="I170" t="s">
        <v>77</v>
      </c>
      <c r="J170" t="s">
        <v>59</v>
      </c>
      <c r="K170" t="s">
        <v>38</v>
      </c>
      <c r="L170" t="s">
        <v>125</v>
      </c>
      <c r="M170">
        <v>3</v>
      </c>
      <c r="N170">
        <v>10814</v>
      </c>
      <c r="O170">
        <v>32442</v>
      </c>
      <c r="P170">
        <v>104276</v>
      </c>
      <c r="Q170" t="s">
        <v>599</v>
      </c>
      <c r="R170">
        <v>2026</v>
      </c>
    </row>
    <row r="171" spans="1:18" x14ac:dyDescent="0.3">
      <c r="A171" t="s">
        <v>600</v>
      </c>
      <c r="B171" t="s">
        <v>546</v>
      </c>
      <c r="C171" t="s">
        <v>601</v>
      </c>
      <c r="D171" t="s">
        <v>21</v>
      </c>
      <c r="E171" t="s">
        <v>57</v>
      </c>
      <c r="F171" t="s">
        <v>96</v>
      </c>
      <c r="G171" t="s">
        <v>83</v>
      </c>
      <c r="H171" t="s">
        <v>139</v>
      </c>
      <c r="I171" t="s">
        <v>26</v>
      </c>
      <c r="J171" t="s">
        <v>59</v>
      </c>
      <c r="K171" t="s">
        <v>71</v>
      </c>
      <c r="L171" t="s">
        <v>29</v>
      </c>
      <c r="M171">
        <v>1</v>
      </c>
      <c r="N171">
        <v>45747</v>
      </c>
      <c r="O171">
        <v>45747</v>
      </c>
      <c r="P171">
        <v>31959</v>
      </c>
      <c r="Q171" t="s">
        <v>602</v>
      </c>
      <c r="R171">
        <v>2026</v>
      </c>
    </row>
    <row r="172" spans="1:18" x14ac:dyDescent="0.3">
      <c r="A172" t="s">
        <v>603</v>
      </c>
      <c r="B172" t="s">
        <v>546</v>
      </c>
      <c r="C172" t="s">
        <v>604</v>
      </c>
      <c r="D172" t="s">
        <v>64</v>
      </c>
      <c r="E172" t="s">
        <v>111</v>
      </c>
      <c r="F172" t="s">
        <v>75</v>
      </c>
      <c r="G172" t="s">
        <v>83</v>
      </c>
      <c r="H172" t="s">
        <v>129</v>
      </c>
      <c r="I172" t="s">
        <v>37</v>
      </c>
      <c r="J172" t="s">
        <v>52</v>
      </c>
      <c r="K172" t="s">
        <v>38</v>
      </c>
      <c r="L172" t="s">
        <v>66</v>
      </c>
      <c r="M172">
        <v>8</v>
      </c>
      <c r="N172">
        <v>46475</v>
      </c>
      <c r="O172">
        <v>371800</v>
      </c>
      <c r="P172">
        <v>118773</v>
      </c>
      <c r="Q172" t="s">
        <v>605</v>
      </c>
      <c r="R172">
        <v>2026</v>
      </c>
    </row>
    <row r="173" spans="1:18" x14ac:dyDescent="0.3">
      <c r="A173" t="s">
        <v>606</v>
      </c>
      <c r="B173" t="s">
        <v>546</v>
      </c>
      <c r="C173" t="s">
        <v>607</v>
      </c>
      <c r="D173" t="s">
        <v>33</v>
      </c>
      <c r="E173" t="s">
        <v>57</v>
      </c>
      <c r="F173" t="s">
        <v>75</v>
      </c>
      <c r="G173" t="s">
        <v>83</v>
      </c>
      <c r="H173" t="s">
        <v>154</v>
      </c>
      <c r="I173" t="s">
        <v>37</v>
      </c>
      <c r="J173" t="s">
        <v>52</v>
      </c>
      <c r="K173" t="s">
        <v>78</v>
      </c>
      <c r="L173" t="s">
        <v>125</v>
      </c>
      <c r="M173">
        <v>1</v>
      </c>
      <c r="N173">
        <v>23324</v>
      </c>
      <c r="O173">
        <v>23324</v>
      </c>
      <c r="P173">
        <v>45545</v>
      </c>
      <c r="Q173" t="s">
        <v>608</v>
      </c>
      <c r="R173">
        <v>2026</v>
      </c>
    </row>
    <row r="174" spans="1:18" x14ac:dyDescent="0.3">
      <c r="A174" t="s">
        <v>609</v>
      </c>
      <c r="B174" t="s">
        <v>546</v>
      </c>
      <c r="C174" t="s">
        <v>610</v>
      </c>
      <c r="D174" t="s">
        <v>43</v>
      </c>
      <c r="E174" t="s">
        <v>44</v>
      </c>
      <c r="F174" t="s">
        <v>75</v>
      </c>
      <c r="G174" t="s">
        <v>102</v>
      </c>
      <c r="H174" t="s">
        <v>211</v>
      </c>
      <c r="I174" t="s">
        <v>26</v>
      </c>
      <c r="J174" t="s">
        <v>52</v>
      </c>
      <c r="K174" t="s">
        <v>71</v>
      </c>
      <c r="L174" t="s">
        <v>66</v>
      </c>
      <c r="M174">
        <v>10</v>
      </c>
      <c r="N174">
        <v>44126</v>
      </c>
      <c r="O174">
        <v>441260</v>
      </c>
      <c r="P174">
        <v>80808</v>
      </c>
      <c r="Q174" t="s">
        <v>611</v>
      </c>
      <c r="R174">
        <v>2026</v>
      </c>
    </row>
    <row r="175" spans="1:18" x14ac:dyDescent="0.3">
      <c r="A175" t="s">
        <v>612</v>
      </c>
      <c r="B175" t="s">
        <v>546</v>
      </c>
      <c r="C175" t="s">
        <v>613</v>
      </c>
      <c r="D175" t="s">
        <v>64</v>
      </c>
      <c r="E175" t="s">
        <v>44</v>
      </c>
      <c r="F175" t="s">
        <v>23</v>
      </c>
      <c r="G175" t="s">
        <v>35</v>
      </c>
      <c r="H175" t="s">
        <v>184</v>
      </c>
      <c r="I175" t="s">
        <v>45</v>
      </c>
      <c r="J175" t="s">
        <v>59</v>
      </c>
      <c r="K175" t="s">
        <v>28</v>
      </c>
      <c r="L175" t="s">
        <v>125</v>
      </c>
      <c r="M175">
        <v>8</v>
      </c>
      <c r="N175">
        <v>43771</v>
      </c>
      <c r="O175">
        <v>350168</v>
      </c>
      <c r="P175">
        <v>143900</v>
      </c>
      <c r="Q175" t="s">
        <v>614</v>
      </c>
      <c r="R175">
        <v>2026</v>
      </c>
    </row>
    <row r="176" spans="1:18" x14ac:dyDescent="0.3">
      <c r="A176" t="s">
        <v>615</v>
      </c>
      <c r="B176" t="s">
        <v>546</v>
      </c>
      <c r="C176" t="s">
        <v>616</v>
      </c>
      <c r="D176" t="s">
        <v>33</v>
      </c>
      <c r="E176" t="s">
        <v>82</v>
      </c>
      <c r="F176" t="s">
        <v>50</v>
      </c>
      <c r="G176" t="s">
        <v>102</v>
      </c>
      <c r="H176" t="s">
        <v>36</v>
      </c>
      <c r="I176" t="s">
        <v>77</v>
      </c>
      <c r="J176" t="s">
        <v>52</v>
      </c>
      <c r="K176" t="s">
        <v>38</v>
      </c>
      <c r="L176" t="s">
        <v>125</v>
      </c>
      <c r="M176">
        <v>5</v>
      </c>
      <c r="N176">
        <v>10180</v>
      </c>
      <c r="O176">
        <v>50900</v>
      </c>
      <c r="P176">
        <v>25560</v>
      </c>
      <c r="Q176" t="s">
        <v>617</v>
      </c>
      <c r="R176">
        <v>2026</v>
      </c>
    </row>
    <row r="177" spans="1:18" x14ac:dyDescent="0.3">
      <c r="A177" t="s">
        <v>618</v>
      </c>
      <c r="B177" t="s">
        <v>546</v>
      </c>
      <c r="C177" t="s">
        <v>619</v>
      </c>
      <c r="D177" t="s">
        <v>33</v>
      </c>
      <c r="E177" t="s">
        <v>111</v>
      </c>
      <c r="F177" t="s">
        <v>23</v>
      </c>
      <c r="G177" t="s">
        <v>116</v>
      </c>
      <c r="H177" t="s">
        <v>200</v>
      </c>
      <c r="I177" t="s">
        <v>77</v>
      </c>
      <c r="J177" t="s">
        <v>27</v>
      </c>
      <c r="K177" t="s">
        <v>38</v>
      </c>
      <c r="L177" t="s">
        <v>39</v>
      </c>
      <c r="M177">
        <v>9</v>
      </c>
      <c r="N177">
        <v>45109</v>
      </c>
      <c r="O177">
        <v>405981</v>
      </c>
      <c r="P177">
        <v>107532</v>
      </c>
      <c r="Q177" t="s">
        <v>620</v>
      </c>
      <c r="R177">
        <v>2026</v>
      </c>
    </row>
    <row r="178" spans="1:18" x14ac:dyDescent="0.3">
      <c r="A178" t="s">
        <v>621</v>
      </c>
      <c r="B178" t="s">
        <v>546</v>
      </c>
      <c r="C178" t="s">
        <v>622</v>
      </c>
      <c r="D178" t="s">
        <v>64</v>
      </c>
      <c r="E178" t="s">
        <v>44</v>
      </c>
      <c r="F178" t="s">
        <v>44</v>
      </c>
      <c r="G178" t="s">
        <v>112</v>
      </c>
      <c r="H178" t="s">
        <v>58</v>
      </c>
      <c r="I178" t="s">
        <v>26</v>
      </c>
      <c r="J178" t="s">
        <v>59</v>
      </c>
      <c r="K178" t="s">
        <v>71</v>
      </c>
      <c r="L178" t="s">
        <v>85</v>
      </c>
      <c r="M178">
        <v>1</v>
      </c>
      <c r="N178">
        <v>13243</v>
      </c>
      <c r="O178">
        <v>13243</v>
      </c>
      <c r="P178">
        <v>69506</v>
      </c>
      <c r="Q178" t="s">
        <v>623</v>
      </c>
      <c r="R178">
        <v>2026</v>
      </c>
    </row>
    <row r="179" spans="1:18" x14ac:dyDescent="0.3">
      <c r="A179" t="s">
        <v>624</v>
      </c>
      <c r="B179" t="s">
        <v>546</v>
      </c>
      <c r="C179" t="s">
        <v>625</v>
      </c>
      <c r="D179" t="s">
        <v>64</v>
      </c>
      <c r="E179" t="s">
        <v>44</v>
      </c>
      <c r="F179" t="s">
        <v>34</v>
      </c>
      <c r="G179" t="s">
        <v>83</v>
      </c>
      <c r="H179" t="s">
        <v>76</v>
      </c>
      <c r="I179" t="s">
        <v>45</v>
      </c>
      <c r="J179" t="s">
        <v>27</v>
      </c>
      <c r="K179" t="s">
        <v>28</v>
      </c>
      <c r="L179" t="s">
        <v>53</v>
      </c>
      <c r="M179">
        <v>4</v>
      </c>
      <c r="N179">
        <v>15551</v>
      </c>
      <c r="O179">
        <v>62204</v>
      </c>
      <c r="P179">
        <v>89501</v>
      </c>
      <c r="Q179" t="s">
        <v>626</v>
      </c>
      <c r="R179">
        <v>2026</v>
      </c>
    </row>
    <row r="180" spans="1:18" x14ac:dyDescent="0.3">
      <c r="A180" t="s">
        <v>627</v>
      </c>
      <c r="B180" t="s">
        <v>546</v>
      </c>
      <c r="C180" t="s">
        <v>628</v>
      </c>
      <c r="D180" t="s">
        <v>21</v>
      </c>
      <c r="E180" t="s">
        <v>57</v>
      </c>
      <c r="F180" t="s">
        <v>23</v>
      </c>
      <c r="G180" t="s">
        <v>24</v>
      </c>
      <c r="H180" t="s">
        <v>309</v>
      </c>
      <c r="I180" t="s">
        <v>26</v>
      </c>
      <c r="J180" t="s">
        <v>52</v>
      </c>
      <c r="K180" t="s">
        <v>71</v>
      </c>
      <c r="L180" t="s">
        <v>29</v>
      </c>
      <c r="M180">
        <v>2</v>
      </c>
      <c r="N180">
        <v>40242</v>
      </c>
      <c r="O180">
        <v>80484</v>
      </c>
      <c r="P180">
        <v>95764</v>
      </c>
      <c r="Q180" t="s">
        <v>629</v>
      </c>
      <c r="R180">
        <v>2026</v>
      </c>
    </row>
    <row r="181" spans="1:18" x14ac:dyDescent="0.3">
      <c r="A181" t="s">
        <v>630</v>
      </c>
      <c r="B181" t="s">
        <v>546</v>
      </c>
      <c r="C181" t="s">
        <v>631</v>
      </c>
      <c r="D181" t="s">
        <v>64</v>
      </c>
      <c r="E181" t="s">
        <v>49</v>
      </c>
      <c r="F181" t="s">
        <v>75</v>
      </c>
      <c r="G181" t="s">
        <v>116</v>
      </c>
      <c r="H181" t="s">
        <v>279</v>
      </c>
      <c r="I181" t="s">
        <v>37</v>
      </c>
      <c r="J181" t="s">
        <v>52</v>
      </c>
      <c r="K181" t="s">
        <v>78</v>
      </c>
      <c r="L181" t="s">
        <v>39</v>
      </c>
      <c r="M181">
        <v>6</v>
      </c>
      <c r="N181">
        <v>23605</v>
      </c>
      <c r="O181">
        <v>141630</v>
      </c>
      <c r="P181">
        <v>142568</v>
      </c>
      <c r="Q181" t="s">
        <v>632</v>
      </c>
      <c r="R181">
        <v>2026</v>
      </c>
    </row>
    <row r="182" spans="1:18" x14ac:dyDescent="0.3">
      <c r="A182" t="s">
        <v>633</v>
      </c>
      <c r="B182" t="s">
        <v>546</v>
      </c>
      <c r="C182" t="s">
        <v>634</v>
      </c>
      <c r="D182" t="s">
        <v>43</v>
      </c>
      <c r="E182" t="s">
        <v>57</v>
      </c>
      <c r="F182" t="s">
        <v>34</v>
      </c>
      <c r="G182" t="s">
        <v>102</v>
      </c>
      <c r="H182" t="s">
        <v>121</v>
      </c>
      <c r="I182" t="s">
        <v>26</v>
      </c>
      <c r="J182" t="s">
        <v>59</v>
      </c>
      <c r="K182" t="s">
        <v>28</v>
      </c>
      <c r="L182" t="s">
        <v>39</v>
      </c>
      <c r="M182">
        <v>2</v>
      </c>
      <c r="N182">
        <v>46553</v>
      </c>
      <c r="O182">
        <v>93106</v>
      </c>
      <c r="P182">
        <v>26864</v>
      </c>
      <c r="Q182" t="s">
        <v>635</v>
      </c>
      <c r="R182">
        <v>2026</v>
      </c>
    </row>
    <row r="183" spans="1:18" x14ac:dyDescent="0.3">
      <c r="A183" t="s">
        <v>636</v>
      </c>
      <c r="B183" t="s">
        <v>637</v>
      </c>
      <c r="C183" t="s">
        <v>638</v>
      </c>
      <c r="D183" t="s">
        <v>33</v>
      </c>
      <c r="E183" t="s">
        <v>111</v>
      </c>
      <c r="F183" t="s">
        <v>23</v>
      </c>
      <c r="G183" t="s">
        <v>35</v>
      </c>
      <c r="H183" t="s">
        <v>139</v>
      </c>
      <c r="I183" t="s">
        <v>45</v>
      </c>
      <c r="J183" t="s">
        <v>52</v>
      </c>
      <c r="K183" t="s">
        <v>71</v>
      </c>
      <c r="L183" t="s">
        <v>29</v>
      </c>
      <c r="M183">
        <v>4</v>
      </c>
      <c r="N183">
        <v>42981</v>
      </c>
      <c r="O183">
        <v>171924</v>
      </c>
      <c r="P183">
        <v>110717</v>
      </c>
      <c r="Q183" t="s">
        <v>639</v>
      </c>
      <c r="R183">
        <v>2026</v>
      </c>
    </row>
    <row r="184" spans="1:18" x14ac:dyDescent="0.3">
      <c r="A184" t="s">
        <v>640</v>
      </c>
      <c r="B184" t="s">
        <v>637</v>
      </c>
      <c r="C184" t="s">
        <v>641</v>
      </c>
      <c r="D184" t="s">
        <v>43</v>
      </c>
      <c r="E184" t="s">
        <v>82</v>
      </c>
      <c r="F184" t="s">
        <v>75</v>
      </c>
      <c r="G184" t="s">
        <v>24</v>
      </c>
      <c r="H184" t="s">
        <v>200</v>
      </c>
      <c r="I184" t="s">
        <v>26</v>
      </c>
      <c r="J184" t="s">
        <v>59</v>
      </c>
      <c r="K184" t="s">
        <v>38</v>
      </c>
      <c r="L184" t="s">
        <v>29</v>
      </c>
      <c r="M184">
        <v>9</v>
      </c>
      <c r="N184">
        <v>34495</v>
      </c>
      <c r="O184">
        <v>310455</v>
      </c>
      <c r="P184">
        <v>66320</v>
      </c>
      <c r="Q184" t="s">
        <v>642</v>
      </c>
      <c r="R184">
        <v>2026</v>
      </c>
    </row>
    <row r="185" spans="1:18" x14ac:dyDescent="0.3">
      <c r="A185" t="s">
        <v>643</v>
      </c>
      <c r="B185" t="s">
        <v>637</v>
      </c>
      <c r="C185" t="s">
        <v>644</v>
      </c>
      <c r="D185" t="s">
        <v>64</v>
      </c>
      <c r="E185" t="s">
        <v>57</v>
      </c>
      <c r="F185" t="s">
        <v>44</v>
      </c>
      <c r="G185" t="s">
        <v>24</v>
      </c>
      <c r="H185" t="s">
        <v>200</v>
      </c>
      <c r="I185" t="s">
        <v>45</v>
      </c>
      <c r="J185" t="s">
        <v>52</v>
      </c>
      <c r="K185" t="s">
        <v>71</v>
      </c>
      <c r="L185" t="s">
        <v>85</v>
      </c>
      <c r="M185">
        <v>9</v>
      </c>
      <c r="N185">
        <v>9473</v>
      </c>
      <c r="O185">
        <v>85257</v>
      </c>
      <c r="P185">
        <v>149112</v>
      </c>
      <c r="Q185" t="s">
        <v>645</v>
      </c>
      <c r="R185">
        <v>2026</v>
      </c>
    </row>
    <row r="186" spans="1:18" x14ac:dyDescent="0.3">
      <c r="A186" t="s">
        <v>646</v>
      </c>
      <c r="B186" t="s">
        <v>637</v>
      </c>
      <c r="C186" t="s">
        <v>647</v>
      </c>
      <c r="D186" t="s">
        <v>21</v>
      </c>
      <c r="E186" t="s">
        <v>49</v>
      </c>
      <c r="F186" t="s">
        <v>44</v>
      </c>
      <c r="G186" t="s">
        <v>112</v>
      </c>
      <c r="H186" t="s">
        <v>302</v>
      </c>
      <c r="I186" t="s">
        <v>26</v>
      </c>
      <c r="J186" t="s">
        <v>59</v>
      </c>
      <c r="K186" t="s">
        <v>28</v>
      </c>
      <c r="L186" t="s">
        <v>29</v>
      </c>
      <c r="M186">
        <v>9</v>
      </c>
      <c r="N186">
        <v>6454</v>
      </c>
      <c r="O186">
        <v>58086</v>
      </c>
      <c r="P186">
        <v>56763</v>
      </c>
      <c r="Q186" t="s">
        <v>648</v>
      </c>
      <c r="R186">
        <v>2026</v>
      </c>
    </row>
    <row r="187" spans="1:18" x14ac:dyDescent="0.3">
      <c r="A187" t="s">
        <v>649</v>
      </c>
      <c r="B187" t="s">
        <v>637</v>
      </c>
      <c r="C187" t="s">
        <v>650</v>
      </c>
      <c r="D187" t="s">
        <v>64</v>
      </c>
      <c r="E187" t="s">
        <v>22</v>
      </c>
      <c r="F187" t="s">
        <v>34</v>
      </c>
      <c r="G187" t="s">
        <v>116</v>
      </c>
      <c r="H187" t="s">
        <v>211</v>
      </c>
      <c r="I187" t="s">
        <v>26</v>
      </c>
      <c r="J187" t="s">
        <v>59</v>
      </c>
      <c r="K187" t="s">
        <v>71</v>
      </c>
      <c r="L187" t="s">
        <v>53</v>
      </c>
      <c r="M187">
        <v>5</v>
      </c>
      <c r="N187">
        <v>20059</v>
      </c>
      <c r="O187">
        <v>100295</v>
      </c>
      <c r="P187">
        <v>100398</v>
      </c>
      <c r="Q187" t="s">
        <v>651</v>
      </c>
      <c r="R187">
        <v>2026</v>
      </c>
    </row>
    <row r="188" spans="1:18" x14ac:dyDescent="0.3">
      <c r="A188" t="s">
        <v>652</v>
      </c>
      <c r="B188" t="s">
        <v>637</v>
      </c>
      <c r="C188" t="s">
        <v>653</v>
      </c>
      <c r="D188" t="s">
        <v>21</v>
      </c>
      <c r="E188" t="s">
        <v>44</v>
      </c>
      <c r="F188" t="s">
        <v>75</v>
      </c>
      <c r="G188" t="s">
        <v>116</v>
      </c>
      <c r="H188" t="s">
        <v>139</v>
      </c>
      <c r="I188" t="s">
        <v>26</v>
      </c>
      <c r="J188" t="s">
        <v>52</v>
      </c>
      <c r="K188" t="s">
        <v>28</v>
      </c>
      <c r="L188" t="s">
        <v>53</v>
      </c>
      <c r="M188">
        <v>1</v>
      </c>
      <c r="N188">
        <v>7747</v>
      </c>
      <c r="O188">
        <v>7747</v>
      </c>
      <c r="P188">
        <v>99991</v>
      </c>
      <c r="Q188" t="s">
        <v>654</v>
      </c>
      <c r="R188">
        <v>2026</v>
      </c>
    </row>
    <row r="189" spans="1:18" x14ac:dyDescent="0.3">
      <c r="A189" t="s">
        <v>655</v>
      </c>
      <c r="B189" t="s">
        <v>637</v>
      </c>
      <c r="C189" t="s">
        <v>656</v>
      </c>
      <c r="D189" t="s">
        <v>21</v>
      </c>
      <c r="E189" t="s">
        <v>82</v>
      </c>
      <c r="F189" t="s">
        <v>50</v>
      </c>
      <c r="G189" t="s">
        <v>97</v>
      </c>
      <c r="H189" t="s">
        <v>98</v>
      </c>
      <c r="I189" t="s">
        <v>37</v>
      </c>
      <c r="J189" t="s">
        <v>27</v>
      </c>
      <c r="K189" t="s">
        <v>28</v>
      </c>
      <c r="L189" t="s">
        <v>125</v>
      </c>
      <c r="M189">
        <v>6</v>
      </c>
      <c r="N189">
        <v>29922</v>
      </c>
      <c r="O189">
        <v>179532</v>
      </c>
      <c r="P189">
        <v>93729</v>
      </c>
      <c r="Q189" t="s">
        <v>657</v>
      </c>
      <c r="R189">
        <v>2026</v>
      </c>
    </row>
    <row r="190" spans="1:18" x14ac:dyDescent="0.3">
      <c r="A190" t="s">
        <v>658</v>
      </c>
      <c r="B190" t="s">
        <v>637</v>
      </c>
      <c r="C190" t="s">
        <v>659</v>
      </c>
      <c r="D190" t="s">
        <v>21</v>
      </c>
      <c r="E190" t="s">
        <v>44</v>
      </c>
      <c r="F190" t="s">
        <v>34</v>
      </c>
      <c r="G190" t="s">
        <v>24</v>
      </c>
      <c r="H190" t="s">
        <v>228</v>
      </c>
      <c r="I190" t="s">
        <v>37</v>
      </c>
      <c r="J190" t="s">
        <v>27</v>
      </c>
      <c r="K190" t="s">
        <v>71</v>
      </c>
      <c r="L190" t="s">
        <v>39</v>
      </c>
      <c r="M190">
        <v>4</v>
      </c>
      <c r="N190">
        <v>17409</v>
      </c>
      <c r="O190">
        <v>69636</v>
      </c>
      <c r="P190">
        <v>90051</v>
      </c>
      <c r="Q190" t="s">
        <v>660</v>
      </c>
      <c r="R190">
        <v>2026</v>
      </c>
    </row>
    <row r="191" spans="1:18" x14ac:dyDescent="0.3">
      <c r="A191" t="s">
        <v>661</v>
      </c>
      <c r="B191" t="s">
        <v>637</v>
      </c>
      <c r="C191" t="s">
        <v>662</v>
      </c>
      <c r="D191" t="s">
        <v>33</v>
      </c>
      <c r="E191" t="s">
        <v>57</v>
      </c>
      <c r="F191" t="s">
        <v>96</v>
      </c>
      <c r="G191" t="s">
        <v>112</v>
      </c>
      <c r="H191" t="s">
        <v>58</v>
      </c>
      <c r="I191" t="s">
        <v>37</v>
      </c>
      <c r="J191" t="s">
        <v>27</v>
      </c>
      <c r="K191" t="s">
        <v>71</v>
      </c>
      <c r="L191" t="s">
        <v>66</v>
      </c>
      <c r="M191">
        <v>3</v>
      </c>
      <c r="N191">
        <v>32562</v>
      </c>
      <c r="O191">
        <v>97686</v>
      </c>
      <c r="P191">
        <v>85238</v>
      </c>
      <c r="Q191" t="s">
        <v>663</v>
      </c>
      <c r="R191">
        <v>2026</v>
      </c>
    </row>
    <row r="192" spans="1:18" x14ac:dyDescent="0.3">
      <c r="A192" t="s">
        <v>664</v>
      </c>
      <c r="B192" t="s">
        <v>637</v>
      </c>
      <c r="C192" t="s">
        <v>665</v>
      </c>
      <c r="D192" t="s">
        <v>64</v>
      </c>
      <c r="E192" t="s">
        <v>82</v>
      </c>
      <c r="F192" t="s">
        <v>23</v>
      </c>
      <c r="G192" t="s">
        <v>102</v>
      </c>
      <c r="H192" t="s">
        <v>147</v>
      </c>
      <c r="I192" t="s">
        <v>26</v>
      </c>
      <c r="J192" t="s">
        <v>59</v>
      </c>
      <c r="K192" t="s">
        <v>78</v>
      </c>
      <c r="L192" t="s">
        <v>66</v>
      </c>
      <c r="M192">
        <v>10</v>
      </c>
      <c r="N192">
        <v>1443</v>
      </c>
      <c r="O192">
        <v>14430</v>
      </c>
      <c r="P192">
        <v>82011</v>
      </c>
      <c r="Q192" t="s">
        <v>666</v>
      </c>
      <c r="R192">
        <v>2026</v>
      </c>
    </row>
    <row r="193" spans="1:18" x14ac:dyDescent="0.3">
      <c r="A193" t="s">
        <v>667</v>
      </c>
      <c r="B193" t="s">
        <v>637</v>
      </c>
      <c r="C193" t="s">
        <v>668</v>
      </c>
      <c r="D193" t="s">
        <v>64</v>
      </c>
      <c r="E193" t="s">
        <v>22</v>
      </c>
      <c r="F193" t="s">
        <v>34</v>
      </c>
      <c r="G193" t="s">
        <v>24</v>
      </c>
      <c r="H193" t="s">
        <v>70</v>
      </c>
      <c r="I193" t="s">
        <v>77</v>
      </c>
      <c r="J193" t="s">
        <v>27</v>
      </c>
      <c r="K193" t="s">
        <v>38</v>
      </c>
      <c r="L193" t="s">
        <v>66</v>
      </c>
      <c r="M193">
        <v>5</v>
      </c>
      <c r="N193">
        <v>28083</v>
      </c>
      <c r="O193">
        <v>140415</v>
      </c>
      <c r="P193">
        <v>84281</v>
      </c>
      <c r="Q193" t="s">
        <v>669</v>
      </c>
      <c r="R193">
        <v>2026</v>
      </c>
    </row>
    <row r="194" spans="1:18" x14ac:dyDescent="0.3">
      <c r="A194" t="s">
        <v>670</v>
      </c>
      <c r="B194" t="s">
        <v>637</v>
      </c>
      <c r="C194" t="s">
        <v>671</v>
      </c>
      <c r="D194" t="s">
        <v>64</v>
      </c>
      <c r="E194" t="s">
        <v>82</v>
      </c>
      <c r="F194" t="s">
        <v>44</v>
      </c>
      <c r="G194" t="s">
        <v>83</v>
      </c>
      <c r="H194" t="s">
        <v>184</v>
      </c>
      <c r="I194" t="s">
        <v>77</v>
      </c>
      <c r="J194" t="s">
        <v>52</v>
      </c>
      <c r="K194" t="s">
        <v>78</v>
      </c>
      <c r="L194" t="s">
        <v>85</v>
      </c>
      <c r="M194">
        <v>3</v>
      </c>
      <c r="N194">
        <v>15844</v>
      </c>
      <c r="O194">
        <v>47532</v>
      </c>
      <c r="P194">
        <v>117494</v>
      </c>
      <c r="Q194" t="s">
        <v>672</v>
      </c>
      <c r="R194">
        <v>2026</v>
      </c>
    </row>
    <row r="195" spans="1:18" x14ac:dyDescent="0.3">
      <c r="A195" t="s">
        <v>673</v>
      </c>
      <c r="B195" t="s">
        <v>637</v>
      </c>
      <c r="C195" t="s">
        <v>674</v>
      </c>
      <c r="D195" t="s">
        <v>64</v>
      </c>
      <c r="E195" t="s">
        <v>111</v>
      </c>
      <c r="F195" t="s">
        <v>23</v>
      </c>
      <c r="G195" t="s">
        <v>102</v>
      </c>
      <c r="H195" t="s">
        <v>309</v>
      </c>
      <c r="I195" t="s">
        <v>37</v>
      </c>
      <c r="J195" t="s">
        <v>59</v>
      </c>
      <c r="K195" t="s">
        <v>71</v>
      </c>
      <c r="L195" t="s">
        <v>66</v>
      </c>
      <c r="M195">
        <v>10</v>
      </c>
      <c r="N195">
        <v>28281</v>
      </c>
      <c r="O195">
        <v>282810</v>
      </c>
      <c r="P195">
        <v>123950</v>
      </c>
      <c r="Q195" t="s">
        <v>354</v>
      </c>
      <c r="R195">
        <v>2026</v>
      </c>
    </row>
    <row r="196" spans="1:18" x14ac:dyDescent="0.3">
      <c r="A196" t="s">
        <v>675</v>
      </c>
      <c r="B196" t="s">
        <v>637</v>
      </c>
      <c r="C196" t="s">
        <v>676</v>
      </c>
      <c r="D196" t="s">
        <v>21</v>
      </c>
      <c r="E196" t="s">
        <v>22</v>
      </c>
      <c r="F196" t="s">
        <v>75</v>
      </c>
      <c r="G196" t="s">
        <v>89</v>
      </c>
      <c r="H196" t="s">
        <v>107</v>
      </c>
      <c r="I196" t="s">
        <v>26</v>
      </c>
      <c r="J196" t="s">
        <v>27</v>
      </c>
      <c r="K196" t="s">
        <v>71</v>
      </c>
      <c r="L196" t="s">
        <v>29</v>
      </c>
      <c r="M196">
        <v>1</v>
      </c>
      <c r="N196">
        <v>48743</v>
      </c>
      <c r="O196">
        <v>48743</v>
      </c>
      <c r="P196">
        <v>123668</v>
      </c>
      <c r="Q196" t="s">
        <v>677</v>
      </c>
      <c r="R196">
        <v>2026</v>
      </c>
    </row>
    <row r="197" spans="1:18" x14ac:dyDescent="0.3">
      <c r="A197" t="s">
        <v>678</v>
      </c>
      <c r="B197" t="s">
        <v>637</v>
      </c>
      <c r="C197" t="s">
        <v>679</v>
      </c>
      <c r="D197" t="s">
        <v>43</v>
      </c>
      <c r="E197" t="s">
        <v>44</v>
      </c>
      <c r="F197" t="s">
        <v>50</v>
      </c>
      <c r="G197" t="s">
        <v>24</v>
      </c>
      <c r="H197" t="s">
        <v>65</v>
      </c>
      <c r="I197" t="s">
        <v>45</v>
      </c>
      <c r="J197" t="s">
        <v>27</v>
      </c>
      <c r="K197" t="s">
        <v>38</v>
      </c>
      <c r="L197" t="s">
        <v>85</v>
      </c>
      <c r="M197">
        <v>3</v>
      </c>
      <c r="N197">
        <v>42234</v>
      </c>
      <c r="O197">
        <v>126702</v>
      </c>
      <c r="P197">
        <v>112054</v>
      </c>
      <c r="Q197" t="s">
        <v>680</v>
      </c>
      <c r="R197">
        <v>2026</v>
      </c>
    </row>
    <row r="198" spans="1:18" x14ac:dyDescent="0.3">
      <c r="A198" t="s">
        <v>681</v>
      </c>
      <c r="B198" t="s">
        <v>637</v>
      </c>
      <c r="C198" t="s">
        <v>682</v>
      </c>
      <c r="D198" t="s">
        <v>21</v>
      </c>
      <c r="E198" t="s">
        <v>22</v>
      </c>
      <c r="F198" t="s">
        <v>23</v>
      </c>
      <c r="G198" t="s">
        <v>112</v>
      </c>
      <c r="H198" t="s">
        <v>139</v>
      </c>
      <c r="I198" t="s">
        <v>26</v>
      </c>
      <c r="J198" t="s">
        <v>27</v>
      </c>
      <c r="K198" t="s">
        <v>78</v>
      </c>
      <c r="L198" t="s">
        <v>29</v>
      </c>
      <c r="M198">
        <v>6</v>
      </c>
      <c r="N198">
        <v>4661</v>
      </c>
      <c r="O198">
        <v>27966</v>
      </c>
      <c r="P198">
        <v>33142</v>
      </c>
      <c r="Q198" t="s">
        <v>590</v>
      </c>
      <c r="R198">
        <v>2026</v>
      </c>
    </row>
    <row r="199" spans="1:18" x14ac:dyDescent="0.3">
      <c r="A199" t="s">
        <v>683</v>
      </c>
      <c r="B199" t="s">
        <v>637</v>
      </c>
      <c r="C199" t="s">
        <v>684</v>
      </c>
      <c r="D199" t="s">
        <v>33</v>
      </c>
      <c r="E199" t="s">
        <v>111</v>
      </c>
      <c r="F199" t="s">
        <v>34</v>
      </c>
      <c r="G199" t="s">
        <v>24</v>
      </c>
      <c r="H199" t="s">
        <v>36</v>
      </c>
      <c r="I199" t="s">
        <v>77</v>
      </c>
      <c r="J199" t="s">
        <v>59</v>
      </c>
      <c r="K199" t="s">
        <v>28</v>
      </c>
      <c r="L199" t="s">
        <v>60</v>
      </c>
      <c r="M199">
        <v>7</v>
      </c>
      <c r="N199">
        <v>25450</v>
      </c>
      <c r="O199">
        <v>178150</v>
      </c>
      <c r="P199">
        <v>96926</v>
      </c>
      <c r="Q199" t="s">
        <v>685</v>
      </c>
      <c r="R199">
        <v>2026</v>
      </c>
    </row>
    <row r="200" spans="1:18" x14ac:dyDescent="0.3">
      <c r="A200" t="s">
        <v>686</v>
      </c>
      <c r="B200" t="s">
        <v>637</v>
      </c>
      <c r="C200" t="s">
        <v>687</v>
      </c>
      <c r="D200" t="s">
        <v>64</v>
      </c>
      <c r="E200" t="s">
        <v>111</v>
      </c>
      <c r="F200" t="s">
        <v>75</v>
      </c>
      <c r="G200" t="s">
        <v>112</v>
      </c>
      <c r="H200" t="s">
        <v>129</v>
      </c>
      <c r="I200" t="s">
        <v>37</v>
      </c>
      <c r="J200" t="s">
        <v>27</v>
      </c>
      <c r="K200" t="s">
        <v>71</v>
      </c>
      <c r="L200" t="s">
        <v>60</v>
      </c>
      <c r="M200">
        <v>6</v>
      </c>
      <c r="N200">
        <v>6486</v>
      </c>
      <c r="O200">
        <v>38916</v>
      </c>
      <c r="P200">
        <v>52974</v>
      </c>
      <c r="Q200" t="s">
        <v>688</v>
      </c>
      <c r="R200">
        <v>2026</v>
      </c>
    </row>
    <row r="201" spans="1:18" x14ac:dyDescent="0.3">
      <c r="A201" t="s">
        <v>689</v>
      </c>
      <c r="B201" t="s">
        <v>637</v>
      </c>
      <c r="C201" t="s">
        <v>690</v>
      </c>
      <c r="D201" t="s">
        <v>33</v>
      </c>
      <c r="E201" t="s">
        <v>111</v>
      </c>
      <c r="F201" t="s">
        <v>44</v>
      </c>
      <c r="G201" t="s">
        <v>112</v>
      </c>
      <c r="H201" t="s">
        <v>232</v>
      </c>
      <c r="I201" t="s">
        <v>37</v>
      </c>
      <c r="J201" t="s">
        <v>52</v>
      </c>
      <c r="K201" t="s">
        <v>71</v>
      </c>
      <c r="L201" t="s">
        <v>60</v>
      </c>
      <c r="M201">
        <v>5</v>
      </c>
      <c r="N201">
        <v>46484</v>
      </c>
      <c r="O201">
        <v>232420</v>
      </c>
      <c r="P201">
        <v>45872</v>
      </c>
      <c r="Q201" t="s">
        <v>691</v>
      </c>
      <c r="R201">
        <v>2026</v>
      </c>
    </row>
    <row r="202" spans="1:18" x14ac:dyDescent="0.3">
      <c r="A202" t="s">
        <v>692</v>
      </c>
      <c r="B202" t="s">
        <v>637</v>
      </c>
      <c r="C202" t="s">
        <v>693</v>
      </c>
      <c r="D202" t="s">
        <v>21</v>
      </c>
      <c r="E202" t="s">
        <v>82</v>
      </c>
      <c r="F202" t="s">
        <v>23</v>
      </c>
      <c r="G202" t="s">
        <v>97</v>
      </c>
      <c r="H202" t="s">
        <v>200</v>
      </c>
      <c r="I202" t="s">
        <v>45</v>
      </c>
      <c r="J202" t="s">
        <v>59</v>
      </c>
      <c r="K202" t="s">
        <v>71</v>
      </c>
      <c r="L202" t="s">
        <v>60</v>
      </c>
      <c r="M202">
        <v>3</v>
      </c>
      <c r="N202">
        <v>7798</v>
      </c>
      <c r="O202">
        <v>23394</v>
      </c>
      <c r="P202">
        <v>19489</v>
      </c>
      <c r="Q202" t="s">
        <v>694</v>
      </c>
      <c r="R202">
        <v>2026</v>
      </c>
    </row>
    <row r="203" spans="1:18" x14ac:dyDescent="0.3">
      <c r="A203" t="s">
        <v>695</v>
      </c>
      <c r="B203" t="s">
        <v>637</v>
      </c>
      <c r="C203" t="s">
        <v>696</v>
      </c>
      <c r="D203" t="s">
        <v>21</v>
      </c>
      <c r="E203" t="s">
        <v>49</v>
      </c>
      <c r="F203" t="s">
        <v>50</v>
      </c>
      <c r="G203" t="s">
        <v>89</v>
      </c>
      <c r="H203" t="s">
        <v>107</v>
      </c>
      <c r="I203" t="s">
        <v>37</v>
      </c>
      <c r="J203" t="s">
        <v>52</v>
      </c>
      <c r="K203" t="s">
        <v>38</v>
      </c>
      <c r="L203" t="s">
        <v>29</v>
      </c>
      <c r="M203">
        <v>5</v>
      </c>
      <c r="N203">
        <v>19644</v>
      </c>
      <c r="O203">
        <v>98220</v>
      </c>
      <c r="P203">
        <v>142011</v>
      </c>
      <c r="Q203" t="s">
        <v>697</v>
      </c>
      <c r="R203">
        <v>2026</v>
      </c>
    </row>
    <row r="204" spans="1:18" x14ac:dyDescent="0.3">
      <c r="A204" t="s">
        <v>698</v>
      </c>
      <c r="B204" t="s">
        <v>637</v>
      </c>
      <c r="C204" t="s">
        <v>699</v>
      </c>
      <c r="D204" t="s">
        <v>21</v>
      </c>
      <c r="E204" t="s">
        <v>111</v>
      </c>
      <c r="F204" t="s">
        <v>23</v>
      </c>
      <c r="G204" t="s">
        <v>102</v>
      </c>
      <c r="H204" t="s">
        <v>376</v>
      </c>
      <c r="I204" t="s">
        <v>37</v>
      </c>
      <c r="J204" t="s">
        <v>52</v>
      </c>
      <c r="K204" t="s">
        <v>78</v>
      </c>
      <c r="L204" t="s">
        <v>29</v>
      </c>
      <c r="M204">
        <v>9</v>
      </c>
      <c r="N204">
        <v>13126</v>
      </c>
      <c r="O204">
        <v>118134</v>
      </c>
      <c r="P204">
        <v>43628</v>
      </c>
      <c r="Q204" t="s">
        <v>700</v>
      </c>
      <c r="R204">
        <v>2026</v>
      </c>
    </row>
    <row r="205" spans="1:18" x14ac:dyDescent="0.3">
      <c r="A205" t="s">
        <v>701</v>
      </c>
      <c r="B205" t="s">
        <v>637</v>
      </c>
      <c r="C205" t="s">
        <v>702</v>
      </c>
      <c r="D205" t="s">
        <v>21</v>
      </c>
      <c r="E205" t="s">
        <v>44</v>
      </c>
      <c r="F205" t="s">
        <v>23</v>
      </c>
      <c r="G205" t="s">
        <v>116</v>
      </c>
      <c r="H205" t="s">
        <v>154</v>
      </c>
      <c r="I205" t="s">
        <v>45</v>
      </c>
      <c r="J205" t="s">
        <v>59</v>
      </c>
      <c r="K205" t="s">
        <v>38</v>
      </c>
      <c r="L205" t="s">
        <v>125</v>
      </c>
      <c r="M205">
        <v>9</v>
      </c>
      <c r="N205">
        <v>3880</v>
      </c>
      <c r="O205">
        <v>34920</v>
      </c>
      <c r="P205">
        <v>17579</v>
      </c>
      <c r="Q205" t="s">
        <v>703</v>
      </c>
      <c r="R205">
        <v>2026</v>
      </c>
    </row>
    <row r="206" spans="1:18" x14ac:dyDescent="0.3">
      <c r="A206" t="s">
        <v>704</v>
      </c>
      <c r="B206" t="s">
        <v>637</v>
      </c>
      <c r="C206" t="s">
        <v>705</v>
      </c>
      <c r="D206" t="s">
        <v>33</v>
      </c>
      <c r="E206" t="s">
        <v>49</v>
      </c>
      <c r="F206" t="s">
        <v>23</v>
      </c>
      <c r="G206" t="s">
        <v>35</v>
      </c>
      <c r="H206" t="s">
        <v>200</v>
      </c>
      <c r="I206" t="s">
        <v>37</v>
      </c>
      <c r="J206" t="s">
        <v>27</v>
      </c>
      <c r="K206" t="s">
        <v>71</v>
      </c>
      <c r="L206" t="s">
        <v>85</v>
      </c>
      <c r="M206">
        <v>6</v>
      </c>
      <c r="N206">
        <v>1254</v>
      </c>
      <c r="O206">
        <v>7524</v>
      </c>
      <c r="P206">
        <v>56600</v>
      </c>
      <c r="Q206" t="s">
        <v>706</v>
      </c>
      <c r="R206">
        <v>2026</v>
      </c>
    </row>
    <row r="207" spans="1:18" x14ac:dyDescent="0.3">
      <c r="A207" t="s">
        <v>707</v>
      </c>
      <c r="B207" t="s">
        <v>637</v>
      </c>
      <c r="C207" t="s">
        <v>708</v>
      </c>
      <c r="D207" t="s">
        <v>33</v>
      </c>
      <c r="E207" t="s">
        <v>22</v>
      </c>
      <c r="F207" t="s">
        <v>23</v>
      </c>
      <c r="G207" t="s">
        <v>89</v>
      </c>
      <c r="H207" t="s">
        <v>25</v>
      </c>
      <c r="I207" t="s">
        <v>37</v>
      </c>
      <c r="J207" t="s">
        <v>27</v>
      </c>
      <c r="K207" t="s">
        <v>71</v>
      </c>
      <c r="L207" t="s">
        <v>66</v>
      </c>
      <c r="M207">
        <v>9</v>
      </c>
      <c r="N207">
        <v>14187</v>
      </c>
      <c r="O207">
        <v>127683</v>
      </c>
      <c r="P207">
        <v>109929</v>
      </c>
      <c r="Q207" t="s">
        <v>709</v>
      </c>
      <c r="R207">
        <v>2026</v>
      </c>
    </row>
    <row r="208" spans="1:18" x14ac:dyDescent="0.3">
      <c r="A208" t="s">
        <v>710</v>
      </c>
      <c r="B208" t="s">
        <v>637</v>
      </c>
      <c r="C208" t="s">
        <v>711</v>
      </c>
      <c r="D208" t="s">
        <v>21</v>
      </c>
      <c r="E208" t="s">
        <v>49</v>
      </c>
      <c r="F208" t="s">
        <v>75</v>
      </c>
      <c r="G208" t="s">
        <v>83</v>
      </c>
      <c r="H208" t="s">
        <v>76</v>
      </c>
      <c r="I208" t="s">
        <v>45</v>
      </c>
      <c r="J208" t="s">
        <v>59</v>
      </c>
      <c r="K208" t="s">
        <v>78</v>
      </c>
      <c r="L208" t="s">
        <v>29</v>
      </c>
      <c r="M208">
        <v>4</v>
      </c>
      <c r="N208">
        <v>45603</v>
      </c>
      <c r="O208">
        <v>182412</v>
      </c>
      <c r="P208">
        <v>28279</v>
      </c>
      <c r="Q208" t="s">
        <v>712</v>
      </c>
      <c r="R208">
        <v>2026</v>
      </c>
    </row>
    <row r="209" spans="1:18" x14ac:dyDescent="0.3">
      <c r="A209" t="s">
        <v>713</v>
      </c>
      <c r="B209" t="s">
        <v>637</v>
      </c>
      <c r="C209" t="s">
        <v>714</v>
      </c>
      <c r="D209" t="s">
        <v>21</v>
      </c>
      <c r="E209" t="s">
        <v>57</v>
      </c>
      <c r="F209" t="s">
        <v>96</v>
      </c>
      <c r="G209" t="s">
        <v>112</v>
      </c>
      <c r="H209" t="s">
        <v>184</v>
      </c>
      <c r="I209" t="s">
        <v>37</v>
      </c>
      <c r="J209" t="s">
        <v>52</v>
      </c>
      <c r="K209" t="s">
        <v>78</v>
      </c>
      <c r="L209" t="s">
        <v>85</v>
      </c>
      <c r="M209">
        <v>5</v>
      </c>
      <c r="N209">
        <v>42546</v>
      </c>
      <c r="O209">
        <v>212730</v>
      </c>
      <c r="P209">
        <v>89185</v>
      </c>
      <c r="Q209" t="s">
        <v>715</v>
      </c>
      <c r="R209">
        <v>2026</v>
      </c>
    </row>
    <row r="210" spans="1:18" x14ac:dyDescent="0.3">
      <c r="A210" t="s">
        <v>716</v>
      </c>
      <c r="B210" t="s">
        <v>637</v>
      </c>
      <c r="C210" t="s">
        <v>717</v>
      </c>
      <c r="D210" t="s">
        <v>43</v>
      </c>
      <c r="E210" t="s">
        <v>111</v>
      </c>
      <c r="F210" t="s">
        <v>75</v>
      </c>
      <c r="G210" t="s">
        <v>24</v>
      </c>
      <c r="H210" t="s">
        <v>298</v>
      </c>
      <c r="I210" t="s">
        <v>45</v>
      </c>
      <c r="J210" t="s">
        <v>59</v>
      </c>
      <c r="K210" t="s">
        <v>78</v>
      </c>
      <c r="L210" t="s">
        <v>60</v>
      </c>
      <c r="M210">
        <v>9</v>
      </c>
      <c r="N210">
        <v>27903</v>
      </c>
      <c r="O210">
        <v>251127</v>
      </c>
      <c r="P210">
        <v>104583</v>
      </c>
      <c r="Q210" t="s">
        <v>718</v>
      </c>
      <c r="R210">
        <v>2026</v>
      </c>
    </row>
    <row r="211" spans="1:18" x14ac:dyDescent="0.3">
      <c r="A211" t="s">
        <v>719</v>
      </c>
      <c r="B211" t="s">
        <v>637</v>
      </c>
      <c r="C211" t="s">
        <v>720</v>
      </c>
      <c r="D211" t="s">
        <v>43</v>
      </c>
      <c r="E211" t="s">
        <v>111</v>
      </c>
      <c r="F211" t="s">
        <v>44</v>
      </c>
      <c r="G211" t="s">
        <v>24</v>
      </c>
      <c r="H211" t="s">
        <v>103</v>
      </c>
      <c r="I211" t="s">
        <v>77</v>
      </c>
      <c r="J211" t="s">
        <v>52</v>
      </c>
      <c r="K211" t="s">
        <v>78</v>
      </c>
      <c r="L211" t="s">
        <v>125</v>
      </c>
      <c r="M211">
        <v>8</v>
      </c>
      <c r="N211">
        <v>20445</v>
      </c>
      <c r="O211">
        <v>163560</v>
      </c>
      <c r="P211">
        <v>109589</v>
      </c>
      <c r="Q211" t="s">
        <v>721</v>
      </c>
      <c r="R211">
        <v>2026</v>
      </c>
    </row>
    <row r="212" spans="1:18" x14ac:dyDescent="0.3">
      <c r="A212" t="s">
        <v>722</v>
      </c>
      <c r="B212" t="s">
        <v>637</v>
      </c>
      <c r="C212" t="s">
        <v>723</v>
      </c>
      <c r="D212" t="s">
        <v>21</v>
      </c>
      <c r="E212" t="s">
        <v>82</v>
      </c>
      <c r="F212" t="s">
        <v>44</v>
      </c>
      <c r="G212" t="s">
        <v>112</v>
      </c>
      <c r="H212" t="s">
        <v>154</v>
      </c>
      <c r="I212" t="s">
        <v>77</v>
      </c>
      <c r="J212" t="s">
        <v>52</v>
      </c>
      <c r="K212" t="s">
        <v>38</v>
      </c>
      <c r="L212" t="s">
        <v>53</v>
      </c>
      <c r="M212">
        <v>6</v>
      </c>
      <c r="N212">
        <v>27859</v>
      </c>
      <c r="O212">
        <v>167154</v>
      </c>
      <c r="P212">
        <v>113059</v>
      </c>
      <c r="Q212" t="s">
        <v>724</v>
      </c>
      <c r="R212">
        <v>2026</v>
      </c>
    </row>
    <row r="213" spans="1:18" x14ac:dyDescent="0.3">
      <c r="A213" t="s">
        <v>725</v>
      </c>
      <c r="B213" t="s">
        <v>637</v>
      </c>
      <c r="C213" t="s">
        <v>726</v>
      </c>
      <c r="D213" t="s">
        <v>33</v>
      </c>
      <c r="E213" t="s">
        <v>22</v>
      </c>
      <c r="F213" t="s">
        <v>34</v>
      </c>
      <c r="G213" t="s">
        <v>116</v>
      </c>
      <c r="H213" t="s">
        <v>84</v>
      </c>
      <c r="I213" t="s">
        <v>45</v>
      </c>
      <c r="J213" t="s">
        <v>59</v>
      </c>
      <c r="K213" t="s">
        <v>38</v>
      </c>
      <c r="L213" t="s">
        <v>60</v>
      </c>
      <c r="M213">
        <v>7</v>
      </c>
      <c r="N213">
        <v>45703</v>
      </c>
      <c r="O213">
        <v>319921</v>
      </c>
      <c r="P213">
        <v>61154</v>
      </c>
      <c r="Q213" t="s">
        <v>727</v>
      </c>
      <c r="R213">
        <v>2026</v>
      </c>
    </row>
    <row r="214" spans="1:18" x14ac:dyDescent="0.3">
      <c r="A214" t="s">
        <v>728</v>
      </c>
      <c r="B214" t="s">
        <v>729</v>
      </c>
      <c r="C214" t="s">
        <v>730</v>
      </c>
      <c r="D214" t="s">
        <v>33</v>
      </c>
      <c r="E214" t="s">
        <v>111</v>
      </c>
      <c r="F214" t="s">
        <v>44</v>
      </c>
      <c r="G214" t="s">
        <v>116</v>
      </c>
      <c r="H214" t="s">
        <v>84</v>
      </c>
      <c r="I214" t="s">
        <v>45</v>
      </c>
      <c r="J214" t="s">
        <v>52</v>
      </c>
      <c r="K214" t="s">
        <v>28</v>
      </c>
      <c r="L214" t="s">
        <v>125</v>
      </c>
      <c r="M214">
        <v>6</v>
      </c>
      <c r="N214">
        <v>10407</v>
      </c>
      <c r="O214">
        <v>62442</v>
      </c>
      <c r="P214">
        <v>115567</v>
      </c>
      <c r="Q214" t="s">
        <v>108</v>
      </c>
      <c r="R214">
        <v>2026</v>
      </c>
    </row>
    <row r="215" spans="1:18" x14ac:dyDescent="0.3">
      <c r="A215" t="s">
        <v>731</v>
      </c>
      <c r="B215" t="s">
        <v>729</v>
      </c>
      <c r="C215" t="s">
        <v>732</v>
      </c>
      <c r="D215" t="s">
        <v>43</v>
      </c>
      <c r="E215" t="s">
        <v>111</v>
      </c>
      <c r="F215" t="s">
        <v>75</v>
      </c>
      <c r="G215" t="s">
        <v>112</v>
      </c>
      <c r="H215" t="s">
        <v>103</v>
      </c>
      <c r="I215" t="s">
        <v>37</v>
      </c>
      <c r="J215" t="s">
        <v>59</v>
      </c>
      <c r="K215" t="s">
        <v>78</v>
      </c>
      <c r="L215" t="s">
        <v>125</v>
      </c>
      <c r="M215">
        <v>5</v>
      </c>
      <c r="N215">
        <v>16894</v>
      </c>
      <c r="O215">
        <v>84470</v>
      </c>
      <c r="P215">
        <v>43908</v>
      </c>
      <c r="Q215" t="s">
        <v>733</v>
      </c>
      <c r="R215">
        <v>2026</v>
      </c>
    </row>
    <row r="216" spans="1:18" x14ac:dyDescent="0.3">
      <c r="A216" t="s">
        <v>734</v>
      </c>
      <c r="B216" t="s">
        <v>729</v>
      </c>
      <c r="C216" t="s">
        <v>735</v>
      </c>
      <c r="D216" t="s">
        <v>43</v>
      </c>
      <c r="E216" t="s">
        <v>22</v>
      </c>
      <c r="F216" t="s">
        <v>75</v>
      </c>
      <c r="G216" t="s">
        <v>97</v>
      </c>
      <c r="H216" t="s">
        <v>211</v>
      </c>
      <c r="I216" t="s">
        <v>37</v>
      </c>
      <c r="J216" t="s">
        <v>59</v>
      </c>
      <c r="K216" t="s">
        <v>28</v>
      </c>
      <c r="L216" t="s">
        <v>29</v>
      </c>
      <c r="M216">
        <v>10</v>
      </c>
      <c r="N216">
        <v>31287</v>
      </c>
      <c r="O216">
        <v>312870</v>
      </c>
      <c r="P216">
        <v>21201</v>
      </c>
      <c r="Q216" t="s">
        <v>736</v>
      </c>
      <c r="R216">
        <v>2026</v>
      </c>
    </row>
    <row r="217" spans="1:18" x14ac:dyDescent="0.3">
      <c r="A217" t="s">
        <v>737</v>
      </c>
      <c r="B217" t="s">
        <v>729</v>
      </c>
      <c r="C217" t="s">
        <v>738</v>
      </c>
      <c r="D217" t="s">
        <v>33</v>
      </c>
      <c r="E217" t="s">
        <v>44</v>
      </c>
      <c r="F217" t="s">
        <v>23</v>
      </c>
      <c r="G217" t="s">
        <v>24</v>
      </c>
      <c r="H217" t="s">
        <v>139</v>
      </c>
      <c r="I217" t="s">
        <v>45</v>
      </c>
      <c r="J217" t="s">
        <v>52</v>
      </c>
      <c r="K217" t="s">
        <v>38</v>
      </c>
      <c r="L217" t="s">
        <v>85</v>
      </c>
      <c r="M217">
        <v>8</v>
      </c>
      <c r="N217">
        <v>29610</v>
      </c>
      <c r="O217">
        <v>236880</v>
      </c>
      <c r="P217">
        <v>11834</v>
      </c>
      <c r="Q217" t="s">
        <v>739</v>
      </c>
      <c r="R217">
        <v>2026</v>
      </c>
    </row>
    <row r="218" spans="1:18" x14ac:dyDescent="0.3">
      <c r="A218" t="s">
        <v>740</v>
      </c>
      <c r="B218" t="s">
        <v>729</v>
      </c>
      <c r="C218" t="s">
        <v>741</v>
      </c>
      <c r="D218" t="s">
        <v>33</v>
      </c>
      <c r="E218" t="s">
        <v>44</v>
      </c>
      <c r="F218" t="s">
        <v>96</v>
      </c>
      <c r="G218" t="s">
        <v>97</v>
      </c>
      <c r="H218" t="s">
        <v>65</v>
      </c>
      <c r="I218" t="s">
        <v>45</v>
      </c>
      <c r="J218" t="s">
        <v>27</v>
      </c>
      <c r="K218" t="s">
        <v>78</v>
      </c>
      <c r="L218" t="s">
        <v>60</v>
      </c>
      <c r="M218">
        <v>6</v>
      </c>
      <c r="N218">
        <v>19178</v>
      </c>
      <c r="O218">
        <v>115068</v>
      </c>
      <c r="P218">
        <v>106713</v>
      </c>
      <c r="Q218" t="s">
        <v>718</v>
      </c>
      <c r="R218">
        <v>2026</v>
      </c>
    </row>
    <row r="219" spans="1:18" x14ac:dyDescent="0.3">
      <c r="A219" t="s">
        <v>742</v>
      </c>
      <c r="B219" t="s">
        <v>729</v>
      </c>
      <c r="C219" t="s">
        <v>743</v>
      </c>
      <c r="D219" t="s">
        <v>43</v>
      </c>
      <c r="E219" t="s">
        <v>82</v>
      </c>
      <c r="F219" t="s">
        <v>75</v>
      </c>
      <c r="G219" t="s">
        <v>83</v>
      </c>
      <c r="H219" t="s">
        <v>76</v>
      </c>
      <c r="I219" t="s">
        <v>77</v>
      </c>
      <c r="J219" t="s">
        <v>27</v>
      </c>
      <c r="K219" t="s">
        <v>38</v>
      </c>
      <c r="L219" t="s">
        <v>117</v>
      </c>
      <c r="M219">
        <v>7</v>
      </c>
      <c r="N219">
        <v>15901</v>
      </c>
      <c r="O219">
        <v>111307</v>
      </c>
      <c r="P219">
        <v>99782</v>
      </c>
      <c r="Q219" t="s">
        <v>744</v>
      </c>
      <c r="R219">
        <v>2026</v>
      </c>
    </row>
    <row r="220" spans="1:18" x14ac:dyDescent="0.3">
      <c r="A220" t="s">
        <v>745</v>
      </c>
      <c r="B220" t="s">
        <v>729</v>
      </c>
      <c r="C220" t="s">
        <v>746</v>
      </c>
      <c r="D220" t="s">
        <v>33</v>
      </c>
      <c r="E220" t="s">
        <v>82</v>
      </c>
      <c r="F220" t="s">
        <v>23</v>
      </c>
      <c r="G220" t="s">
        <v>112</v>
      </c>
      <c r="H220" t="s">
        <v>228</v>
      </c>
      <c r="I220" t="s">
        <v>37</v>
      </c>
      <c r="J220" t="s">
        <v>27</v>
      </c>
      <c r="K220" t="s">
        <v>38</v>
      </c>
      <c r="L220" t="s">
        <v>85</v>
      </c>
      <c r="M220">
        <v>3</v>
      </c>
      <c r="N220">
        <v>4031</v>
      </c>
      <c r="O220">
        <v>12093</v>
      </c>
      <c r="P220">
        <v>144694</v>
      </c>
      <c r="Q220" t="s">
        <v>747</v>
      </c>
      <c r="R220">
        <v>2026</v>
      </c>
    </row>
    <row r="221" spans="1:18" x14ac:dyDescent="0.3">
      <c r="A221" t="s">
        <v>748</v>
      </c>
      <c r="B221" t="s">
        <v>729</v>
      </c>
      <c r="C221" t="s">
        <v>749</v>
      </c>
      <c r="D221" t="s">
        <v>43</v>
      </c>
      <c r="E221" t="s">
        <v>49</v>
      </c>
      <c r="F221" t="s">
        <v>23</v>
      </c>
      <c r="G221" t="s">
        <v>83</v>
      </c>
      <c r="H221" t="s">
        <v>76</v>
      </c>
      <c r="I221" t="s">
        <v>45</v>
      </c>
      <c r="J221" t="s">
        <v>59</v>
      </c>
      <c r="K221" t="s">
        <v>71</v>
      </c>
      <c r="L221" t="s">
        <v>117</v>
      </c>
      <c r="M221">
        <v>6</v>
      </c>
      <c r="N221">
        <v>24776</v>
      </c>
      <c r="O221">
        <v>148656</v>
      </c>
      <c r="P221">
        <v>138980</v>
      </c>
      <c r="Q221" t="s">
        <v>750</v>
      </c>
      <c r="R221">
        <v>2026</v>
      </c>
    </row>
    <row r="222" spans="1:18" x14ac:dyDescent="0.3">
      <c r="A222" t="s">
        <v>751</v>
      </c>
      <c r="B222" t="s">
        <v>729</v>
      </c>
      <c r="C222" t="s">
        <v>752</v>
      </c>
      <c r="D222" t="s">
        <v>64</v>
      </c>
      <c r="E222" t="s">
        <v>111</v>
      </c>
      <c r="F222" t="s">
        <v>50</v>
      </c>
      <c r="G222" t="s">
        <v>24</v>
      </c>
      <c r="H222" t="s">
        <v>143</v>
      </c>
      <c r="I222" t="s">
        <v>77</v>
      </c>
      <c r="J222" t="s">
        <v>27</v>
      </c>
      <c r="K222" t="s">
        <v>38</v>
      </c>
      <c r="L222" t="s">
        <v>85</v>
      </c>
      <c r="M222">
        <v>5</v>
      </c>
      <c r="N222">
        <v>22432</v>
      </c>
      <c r="O222">
        <v>112160</v>
      </c>
      <c r="P222">
        <v>53159</v>
      </c>
      <c r="Q222" t="s">
        <v>753</v>
      </c>
      <c r="R222">
        <v>2026</v>
      </c>
    </row>
    <row r="223" spans="1:18" x14ac:dyDescent="0.3">
      <c r="A223" t="s">
        <v>754</v>
      </c>
      <c r="B223" t="s">
        <v>729</v>
      </c>
      <c r="C223" t="s">
        <v>755</v>
      </c>
      <c r="D223" t="s">
        <v>21</v>
      </c>
      <c r="E223" t="s">
        <v>111</v>
      </c>
      <c r="F223" t="s">
        <v>23</v>
      </c>
      <c r="G223" t="s">
        <v>89</v>
      </c>
      <c r="H223" t="s">
        <v>298</v>
      </c>
      <c r="I223" t="s">
        <v>45</v>
      </c>
      <c r="J223" t="s">
        <v>52</v>
      </c>
      <c r="K223" t="s">
        <v>38</v>
      </c>
      <c r="L223" t="s">
        <v>29</v>
      </c>
      <c r="M223">
        <v>3</v>
      </c>
      <c r="N223">
        <v>45279</v>
      </c>
      <c r="O223">
        <v>135837</v>
      </c>
      <c r="P223">
        <v>106199</v>
      </c>
      <c r="Q223" t="s">
        <v>756</v>
      </c>
      <c r="R223">
        <v>2026</v>
      </c>
    </row>
    <row r="224" spans="1:18" x14ac:dyDescent="0.3">
      <c r="A224" t="s">
        <v>757</v>
      </c>
      <c r="B224" t="s">
        <v>729</v>
      </c>
      <c r="C224" t="s">
        <v>758</v>
      </c>
      <c r="D224" t="s">
        <v>64</v>
      </c>
      <c r="E224" t="s">
        <v>49</v>
      </c>
      <c r="F224" t="s">
        <v>34</v>
      </c>
      <c r="G224" t="s">
        <v>116</v>
      </c>
      <c r="H224" t="s">
        <v>65</v>
      </c>
      <c r="I224" t="s">
        <v>26</v>
      </c>
      <c r="J224" t="s">
        <v>52</v>
      </c>
      <c r="K224" t="s">
        <v>38</v>
      </c>
      <c r="L224" t="s">
        <v>85</v>
      </c>
      <c r="M224">
        <v>4</v>
      </c>
      <c r="N224">
        <v>17113</v>
      </c>
      <c r="O224">
        <v>68452</v>
      </c>
      <c r="P224">
        <v>41109</v>
      </c>
      <c r="Q224" t="s">
        <v>759</v>
      </c>
      <c r="R224">
        <v>2026</v>
      </c>
    </row>
    <row r="225" spans="1:18" x14ac:dyDescent="0.3">
      <c r="A225" t="s">
        <v>760</v>
      </c>
      <c r="B225" t="s">
        <v>729</v>
      </c>
      <c r="C225" t="s">
        <v>761</v>
      </c>
      <c r="D225" t="s">
        <v>21</v>
      </c>
      <c r="E225" t="s">
        <v>49</v>
      </c>
      <c r="F225" t="s">
        <v>50</v>
      </c>
      <c r="G225" t="s">
        <v>97</v>
      </c>
      <c r="H225" t="s">
        <v>200</v>
      </c>
      <c r="I225" t="s">
        <v>45</v>
      </c>
      <c r="J225" t="s">
        <v>59</v>
      </c>
      <c r="K225" t="s">
        <v>78</v>
      </c>
      <c r="L225" t="s">
        <v>39</v>
      </c>
      <c r="M225">
        <v>4</v>
      </c>
      <c r="N225">
        <v>15075</v>
      </c>
      <c r="O225">
        <v>60300</v>
      </c>
      <c r="P225">
        <v>92857</v>
      </c>
      <c r="Q225" t="s">
        <v>762</v>
      </c>
      <c r="R225">
        <v>2026</v>
      </c>
    </row>
    <row r="226" spans="1:18" x14ac:dyDescent="0.3">
      <c r="A226" t="s">
        <v>763</v>
      </c>
      <c r="B226" t="s">
        <v>729</v>
      </c>
      <c r="C226" t="s">
        <v>764</v>
      </c>
      <c r="D226" t="s">
        <v>33</v>
      </c>
      <c r="E226" t="s">
        <v>111</v>
      </c>
      <c r="F226" t="s">
        <v>34</v>
      </c>
      <c r="G226" t="s">
        <v>97</v>
      </c>
      <c r="H226" t="s">
        <v>376</v>
      </c>
      <c r="I226" t="s">
        <v>77</v>
      </c>
      <c r="J226" t="s">
        <v>27</v>
      </c>
      <c r="K226" t="s">
        <v>71</v>
      </c>
      <c r="L226" t="s">
        <v>60</v>
      </c>
      <c r="M226">
        <v>1</v>
      </c>
      <c r="N226">
        <v>41691</v>
      </c>
      <c r="O226">
        <v>41691</v>
      </c>
      <c r="P226">
        <v>122983</v>
      </c>
      <c r="Q226" t="s">
        <v>765</v>
      </c>
      <c r="R226">
        <v>2026</v>
      </c>
    </row>
    <row r="227" spans="1:18" x14ac:dyDescent="0.3">
      <c r="A227" t="s">
        <v>766</v>
      </c>
      <c r="B227" t="s">
        <v>729</v>
      </c>
      <c r="C227" t="s">
        <v>767</v>
      </c>
      <c r="D227" t="s">
        <v>43</v>
      </c>
      <c r="E227" t="s">
        <v>22</v>
      </c>
      <c r="F227" t="s">
        <v>44</v>
      </c>
      <c r="G227" t="s">
        <v>112</v>
      </c>
      <c r="H227" t="s">
        <v>84</v>
      </c>
      <c r="I227" t="s">
        <v>37</v>
      </c>
      <c r="J227" t="s">
        <v>27</v>
      </c>
      <c r="K227" t="s">
        <v>28</v>
      </c>
      <c r="L227" t="s">
        <v>53</v>
      </c>
      <c r="M227">
        <v>5</v>
      </c>
      <c r="N227">
        <v>31197</v>
      </c>
      <c r="O227">
        <v>155985</v>
      </c>
      <c r="P227">
        <v>13054</v>
      </c>
      <c r="Q227" t="s">
        <v>768</v>
      </c>
      <c r="R227">
        <v>2026</v>
      </c>
    </row>
    <row r="228" spans="1:18" x14ac:dyDescent="0.3">
      <c r="A228" t="s">
        <v>769</v>
      </c>
      <c r="B228" t="s">
        <v>729</v>
      </c>
      <c r="C228" t="s">
        <v>770</v>
      </c>
      <c r="D228" t="s">
        <v>64</v>
      </c>
      <c r="E228" t="s">
        <v>49</v>
      </c>
      <c r="F228" t="s">
        <v>34</v>
      </c>
      <c r="G228" t="s">
        <v>35</v>
      </c>
      <c r="H228" t="s">
        <v>98</v>
      </c>
      <c r="I228" t="s">
        <v>37</v>
      </c>
      <c r="J228" t="s">
        <v>27</v>
      </c>
      <c r="K228" t="s">
        <v>78</v>
      </c>
      <c r="L228" t="s">
        <v>53</v>
      </c>
      <c r="M228">
        <v>7</v>
      </c>
      <c r="N228">
        <v>42903</v>
      </c>
      <c r="O228">
        <v>300321</v>
      </c>
      <c r="P228">
        <v>13162</v>
      </c>
      <c r="Q228" t="s">
        <v>771</v>
      </c>
      <c r="R228">
        <v>2026</v>
      </c>
    </row>
    <row r="229" spans="1:18" x14ac:dyDescent="0.3">
      <c r="A229" t="s">
        <v>772</v>
      </c>
      <c r="B229" t="s">
        <v>729</v>
      </c>
      <c r="C229" t="s">
        <v>773</v>
      </c>
      <c r="D229" t="s">
        <v>64</v>
      </c>
      <c r="E229" t="s">
        <v>44</v>
      </c>
      <c r="F229" t="s">
        <v>34</v>
      </c>
      <c r="G229" t="s">
        <v>83</v>
      </c>
      <c r="H229" t="s">
        <v>232</v>
      </c>
      <c r="I229" t="s">
        <v>26</v>
      </c>
      <c r="J229" t="s">
        <v>52</v>
      </c>
      <c r="K229" t="s">
        <v>38</v>
      </c>
      <c r="L229" t="s">
        <v>39</v>
      </c>
      <c r="M229">
        <v>9</v>
      </c>
      <c r="N229">
        <v>2970</v>
      </c>
      <c r="O229">
        <v>26730</v>
      </c>
      <c r="P229">
        <v>90981</v>
      </c>
      <c r="Q229" t="s">
        <v>774</v>
      </c>
      <c r="R229">
        <v>2026</v>
      </c>
    </row>
    <row r="230" spans="1:18" x14ac:dyDescent="0.3">
      <c r="A230" t="s">
        <v>775</v>
      </c>
      <c r="B230" t="s">
        <v>729</v>
      </c>
      <c r="C230" t="s">
        <v>776</v>
      </c>
      <c r="D230" t="s">
        <v>33</v>
      </c>
      <c r="E230" t="s">
        <v>82</v>
      </c>
      <c r="F230" t="s">
        <v>44</v>
      </c>
      <c r="G230" t="s">
        <v>97</v>
      </c>
      <c r="H230" t="s">
        <v>58</v>
      </c>
      <c r="I230" t="s">
        <v>26</v>
      </c>
      <c r="J230" t="s">
        <v>27</v>
      </c>
      <c r="K230" t="s">
        <v>71</v>
      </c>
      <c r="L230" t="s">
        <v>66</v>
      </c>
      <c r="M230">
        <v>4</v>
      </c>
      <c r="N230">
        <v>16947</v>
      </c>
      <c r="O230">
        <v>67788</v>
      </c>
      <c r="P230">
        <v>131552</v>
      </c>
      <c r="Q230" t="s">
        <v>777</v>
      </c>
      <c r="R230">
        <v>2026</v>
      </c>
    </row>
    <row r="231" spans="1:18" x14ac:dyDescent="0.3">
      <c r="A231" t="s">
        <v>778</v>
      </c>
      <c r="B231" t="s">
        <v>729</v>
      </c>
      <c r="C231" t="s">
        <v>779</v>
      </c>
      <c r="D231" t="s">
        <v>43</v>
      </c>
      <c r="E231" t="s">
        <v>44</v>
      </c>
      <c r="F231" t="s">
        <v>50</v>
      </c>
      <c r="G231" t="s">
        <v>97</v>
      </c>
      <c r="H231" t="s">
        <v>70</v>
      </c>
      <c r="I231" t="s">
        <v>37</v>
      </c>
      <c r="J231" t="s">
        <v>52</v>
      </c>
      <c r="K231" t="s">
        <v>71</v>
      </c>
      <c r="L231" t="s">
        <v>125</v>
      </c>
      <c r="M231">
        <v>2</v>
      </c>
      <c r="N231">
        <v>44890</v>
      </c>
      <c r="O231">
        <v>89780</v>
      </c>
      <c r="P231">
        <v>88134</v>
      </c>
      <c r="Q231" t="s">
        <v>780</v>
      </c>
      <c r="R231">
        <v>2026</v>
      </c>
    </row>
    <row r="232" spans="1:18" x14ac:dyDescent="0.3">
      <c r="A232" t="s">
        <v>781</v>
      </c>
      <c r="B232" t="s">
        <v>729</v>
      </c>
      <c r="C232" t="s">
        <v>782</v>
      </c>
      <c r="D232" t="s">
        <v>33</v>
      </c>
      <c r="E232" t="s">
        <v>44</v>
      </c>
      <c r="F232" t="s">
        <v>44</v>
      </c>
      <c r="G232" t="s">
        <v>24</v>
      </c>
      <c r="H232" t="s">
        <v>129</v>
      </c>
      <c r="I232" t="s">
        <v>26</v>
      </c>
      <c r="J232" t="s">
        <v>59</v>
      </c>
      <c r="K232" t="s">
        <v>28</v>
      </c>
      <c r="L232" t="s">
        <v>117</v>
      </c>
      <c r="M232">
        <v>1</v>
      </c>
      <c r="N232">
        <v>20193</v>
      </c>
      <c r="O232">
        <v>20193</v>
      </c>
      <c r="P232">
        <v>131291</v>
      </c>
      <c r="Q232" t="s">
        <v>783</v>
      </c>
      <c r="R232">
        <v>2026</v>
      </c>
    </row>
    <row r="233" spans="1:18" x14ac:dyDescent="0.3">
      <c r="A233" t="s">
        <v>784</v>
      </c>
      <c r="B233" t="s">
        <v>729</v>
      </c>
      <c r="C233" t="s">
        <v>785</v>
      </c>
      <c r="D233" t="s">
        <v>33</v>
      </c>
      <c r="E233" t="s">
        <v>44</v>
      </c>
      <c r="F233" t="s">
        <v>44</v>
      </c>
      <c r="G233" t="s">
        <v>35</v>
      </c>
      <c r="H233" t="s">
        <v>103</v>
      </c>
      <c r="I233" t="s">
        <v>37</v>
      </c>
      <c r="J233" t="s">
        <v>27</v>
      </c>
      <c r="K233" t="s">
        <v>38</v>
      </c>
      <c r="L233" t="s">
        <v>60</v>
      </c>
      <c r="M233">
        <v>2</v>
      </c>
      <c r="N233">
        <v>4729</v>
      </c>
      <c r="O233">
        <v>9458</v>
      </c>
      <c r="P233">
        <v>139702</v>
      </c>
      <c r="Q233" t="s">
        <v>786</v>
      </c>
      <c r="R233">
        <v>2026</v>
      </c>
    </row>
    <row r="234" spans="1:18" x14ac:dyDescent="0.3">
      <c r="A234" t="s">
        <v>787</v>
      </c>
      <c r="B234" t="s">
        <v>729</v>
      </c>
      <c r="C234" t="s">
        <v>788</v>
      </c>
      <c r="D234" t="s">
        <v>33</v>
      </c>
      <c r="E234" t="s">
        <v>82</v>
      </c>
      <c r="F234" t="s">
        <v>44</v>
      </c>
      <c r="G234" t="s">
        <v>35</v>
      </c>
      <c r="H234" t="s">
        <v>184</v>
      </c>
      <c r="I234" t="s">
        <v>37</v>
      </c>
      <c r="J234" t="s">
        <v>52</v>
      </c>
      <c r="K234" t="s">
        <v>71</v>
      </c>
      <c r="L234" t="s">
        <v>29</v>
      </c>
      <c r="M234">
        <v>5</v>
      </c>
      <c r="N234">
        <v>22128</v>
      </c>
      <c r="O234">
        <v>110640</v>
      </c>
      <c r="P234">
        <v>148931</v>
      </c>
      <c r="Q234" t="s">
        <v>789</v>
      </c>
      <c r="R234">
        <v>2026</v>
      </c>
    </row>
    <row r="235" spans="1:18" x14ac:dyDescent="0.3">
      <c r="A235" t="s">
        <v>790</v>
      </c>
      <c r="B235" t="s">
        <v>729</v>
      </c>
      <c r="C235" t="s">
        <v>791</v>
      </c>
      <c r="D235" t="s">
        <v>21</v>
      </c>
      <c r="E235" t="s">
        <v>49</v>
      </c>
      <c r="F235" t="s">
        <v>44</v>
      </c>
      <c r="G235" t="s">
        <v>116</v>
      </c>
      <c r="H235" t="s">
        <v>204</v>
      </c>
      <c r="I235" t="s">
        <v>37</v>
      </c>
      <c r="J235" t="s">
        <v>59</v>
      </c>
      <c r="K235" t="s">
        <v>28</v>
      </c>
      <c r="L235" t="s">
        <v>117</v>
      </c>
      <c r="M235">
        <v>9</v>
      </c>
      <c r="N235">
        <v>16919</v>
      </c>
      <c r="O235">
        <v>152271</v>
      </c>
      <c r="P235">
        <v>110746</v>
      </c>
      <c r="Q235" t="s">
        <v>792</v>
      </c>
      <c r="R235">
        <v>2026</v>
      </c>
    </row>
    <row r="236" spans="1:18" x14ac:dyDescent="0.3">
      <c r="A236" t="s">
        <v>793</v>
      </c>
      <c r="B236" t="s">
        <v>729</v>
      </c>
      <c r="C236" t="s">
        <v>794</v>
      </c>
      <c r="D236" t="s">
        <v>43</v>
      </c>
      <c r="E236" t="s">
        <v>22</v>
      </c>
      <c r="F236" t="s">
        <v>50</v>
      </c>
      <c r="G236" t="s">
        <v>102</v>
      </c>
      <c r="H236" t="s">
        <v>129</v>
      </c>
      <c r="I236" t="s">
        <v>45</v>
      </c>
      <c r="J236" t="s">
        <v>27</v>
      </c>
      <c r="K236" t="s">
        <v>28</v>
      </c>
      <c r="L236" t="s">
        <v>66</v>
      </c>
      <c r="M236">
        <v>2</v>
      </c>
      <c r="N236">
        <v>1379</v>
      </c>
      <c r="O236">
        <v>2758</v>
      </c>
      <c r="P236">
        <v>75669</v>
      </c>
      <c r="Q236" t="s">
        <v>795</v>
      </c>
      <c r="R236">
        <v>2026</v>
      </c>
    </row>
    <row r="237" spans="1:18" x14ac:dyDescent="0.3">
      <c r="A237" t="s">
        <v>796</v>
      </c>
      <c r="B237" t="s">
        <v>729</v>
      </c>
      <c r="C237" t="s">
        <v>797</v>
      </c>
      <c r="D237" t="s">
        <v>33</v>
      </c>
      <c r="E237" t="s">
        <v>49</v>
      </c>
      <c r="F237" t="s">
        <v>75</v>
      </c>
      <c r="G237" t="s">
        <v>116</v>
      </c>
      <c r="H237" t="s">
        <v>298</v>
      </c>
      <c r="I237" t="s">
        <v>37</v>
      </c>
      <c r="J237" t="s">
        <v>27</v>
      </c>
      <c r="K237" t="s">
        <v>78</v>
      </c>
      <c r="L237" t="s">
        <v>53</v>
      </c>
      <c r="M237">
        <v>4</v>
      </c>
      <c r="N237">
        <v>36620</v>
      </c>
      <c r="O237">
        <v>146480</v>
      </c>
      <c r="P237">
        <v>104269</v>
      </c>
      <c r="Q237" t="s">
        <v>798</v>
      </c>
      <c r="R237">
        <v>2026</v>
      </c>
    </row>
    <row r="238" spans="1:18" x14ac:dyDescent="0.3">
      <c r="A238" t="s">
        <v>799</v>
      </c>
      <c r="B238" t="s">
        <v>729</v>
      </c>
      <c r="C238" t="s">
        <v>800</v>
      </c>
      <c r="D238" t="s">
        <v>33</v>
      </c>
      <c r="E238" t="s">
        <v>44</v>
      </c>
      <c r="F238" t="s">
        <v>50</v>
      </c>
      <c r="G238" t="s">
        <v>102</v>
      </c>
      <c r="H238" t="s">
        <v>279</v>
      </c>
      <c r="I238" t="s">
        <v>37</v>
      </c>
      <c r="J238" t="s">
        <v>52</v>
      </c>
      <c r="K238" t="s">
        <v>38</v>
      </c>
      <c r="L238" t="s">
        <v>39</v>
      </c>
      <c r="M238">
        <v>9</v>
      </c>
      <c r="N238">
        <v>49493</v>
      </c>
      <c r="O238">
        <v>445437</v>
      </c>
      <c r="P238">
        <v>38893</v>
      </c>
      <c r="Q238" t="s">
        <v>801</v>
      </c>
      <c r="R238">
        <v>2026</v>
      </c>
    </row>
    <row r="239" spans="1:18" x14ac:dyDescent="0.3">
      <c r="A239" t="s">
        <v>802</v>
      </c>
      <c r="B239" t="s">
        <v>729</v>
      </c>
      <c r="C239" t="s">
        <v>803</v>
      </c>
      <c r="D239" t="s">
        <v>21</v>
      </c>
      <c r="E239" t="s">
        <v>22</v>
      </c>
      <c r="F239" t="s">
        <v>44</v>
      </c>
      <c r="G239" t="s">
        <v>89</v>
      </c>
      <c r="H239" t="s">
        <v>218</v>
      </c>
      <c r="I239" t="s">
        <v>45</v>
      </c>
      <c r="J239" t="s">
        <v>52</v>
      </c>
      <c r="K239" t="s">
        <v>71</v>
      </c>
      <c r="L239" t="s">
        <v>85</v>
      </c>
      <c r="M239">
        <v>8</v>
      </c>
      <c r="N239">
        <v>33903</v>
      </c>
      <c r="O239">
        <v>271224</v>
      </c>
      <c r="P239">
        <v>81470</v>
      </c>
      <c r="Q239" t="s">
        <v>507</v>
      </c>
      <c r="R239">
        <v>2026</v>
      </c>
    </row>
    <row r="240" spans="1:18" x14ac:dyDescent="0.3">
      <c r="A240" t="s">
        <v>804</v>
      </c>
      <c r="B240" t="s">
        <v>729</v>
      </c>
      <c r="C240" t="s">
        <v>805</v>
      </c>
      <c r="D240" t="s">
        <v>43</v>
      </c>
      <c r="E240" t="s">
        <v>22</v>
      </c>
      <c r="F240" t="s">
        <v>23</v>
      </c>
      <c r="G240" t="s">
        <v>116</v>
      </c>
      <c r="H240" t="s">
        <v>25</v>
      </c>
      <c r="I240" t="s">
        <v>26</v>
      </c>
      <c r="J240" t="s">
        <v>27</v>
      </c>
      <c r="K240" t="s">
        <v>38</v>
      </c>
      <c r="L240" t="s">
        <v>66</v>
      </c>
      <c r="M240">
        <v>10</v>
      </c>
      <c r="N240">
        <v>4050</v>
      </c>
      <c r="O240">
        <v>40500</v>
      </c>
      <c r="P240">
        <v>70884</v>
      </c>
      <c r="Q240" t="s">
        <v>806</v>
      </c>
      <c r="R240">
        <v>2026</v>
      </c>
    </row>
    <row r="241" spans="1:18" x14ac:dyDescent="0.3">
      <c r="A241" t="s">
        <v>807</v>
      </c>
      <c r="B241" t="s">
        <v>729</v>
      </c>
      <c r="C241" t="s">
        <v>808</v>
      </c>
      <c r="D241" t="s">
        <v>33</v>
      </c>
      <c r="E241" t="s">
        <v>111</v>
      </c>
      <c r="F241" t="s">
        <v>34</v>
      </c>
      <c r="G241" t="s">
        <v>35</v>
      </c>
      <c r="H241" t="s">
        <v>98</v>
      </c>
      <c r="I241" t="s">
        <v>37</v>
      </c>
      <c r="J241" t="s">
        <v>27</v>
      </c>
      <c r="K241" t="s">
        <v>78</v>
      </c>
      <c r="L241" t="s">
        <v>53</v>
      </c>
      <c r="M241">
        <v>2</v>
      </c>
      <c r="N241">
        <v>48997</v>
      </c>
      <c r="O241">
        <v>97994</v>
      </c>
      <c r="P241">
        <v>117477</v>
      </c>
      <c r="Q241" t="s">
        <v>809</v>
      </c>
      <c r="R241">
        <v>2026</v>
      </c>
    </row>
    <row r="242" spans="1:18" x14ac:dyDescent="0.3">
      <c r="A242" t="s">
        <v>810</v>
      </c>
      <c r="B242" t="s">
        <v>729</v>
      </c>
      <c r="C242" t="s">
        <v>811</v>
      </c>
      <c r="D242" t="s">
        <v>43</v>
      </c>
      <c r="E242" t="s">
        <v>111</v>
      </c>
      <c r="F242" t="s">
        <v>75</v>
      </c>
      <c r="G242" t="s">
        <v>35</v>
      </c>
      <c r="H242" t="s">
        <v>76</v>
      </c>
      <c r="I242" t="s">
        <v>45</v>
      </c>
      <c r="J242" t="s">
        <v>59</v>
      </c>
      <c r="K242" t="s">
        <v>28</v>
      </c>
      <c r="L242" t="s">
        <v>29</v>
      </c>
      <c r="M242">
        <v>5</v>
      </c>
      <c r="N242">
        <v>8563</v>
      </c>
      <c r="O242">
        <v>42815</v>
      </c>
      <c r="P242">
        <v>40967</v>
      </c>
      <c r="Q242" t="s">
        <v>812</v>
      </c>
      <c r="R242">
        <v>2026</v>
      </c>
    </row>
    <row r="243" spans="1:18" x14ac:dyDescent="0.3">
      <c r="A243" t="s">
        <v>813</v>
      </c>
      <c r="B243" t="s">
        <v>729</v>
      </c>
      <c r="C243" t="s">
        <v>814</v>
      </c>
      <c r="D243" t="s">
        <v>33</v>
      </c>
      <c r="E243" t="s">
        <v>82</v>
      </c>
      <c r="F243" t="s">
        <v>96</v>
      </c>
      <c r="G243" t="s">
        <v>112</v>
      </c>
      <c r="H243" t="s">
        <v>147</v>
      </c>
      <c r="I243" t="s">
        <v>37</v>
      </c>
      <c r="J243" t="s">
        <v>52</v>
      </c>
      <c r="K243" t="s">
        <v>28</v>
      </c>
      <c r="L243" t="s">
        <v>66</v>
      </c>
      <c r="M243">
        <v>3</v>
      </c>
      <c r="N243">
        <v>19489</v>
      </c>
      <c r="O243">
        <v>58467</v>
      </c>
      <c r="P243">
        <v>122210</v>
      </c>
      <c r="Q243" t="s">
        <v>440</v>
      </c>
      <c r="R243">
        <v>2026</v>
      </c>
    </row>
    <row r="244" spans="1:18" x14ac:dyDescent="0.3">
      <c r="A244" t="s">
        <v>815</v>
      </c>
      <c r="B244" t="s">
        <v>729</v>
      </c>
      <c r="C244" t="s">
        <v>816</v>
      </c>
      <c r="D244" t="s">
        <v>21</v>
      </c>
      <c r="E244" t="s">
        <v>44</v>
      </c>
      <c r="F244" t="s">
        <v>75</v>
      </c>
      <c r="G244" t="s">
        <v>83</v>
      </c>
      <c r="H244" t="s">
        <v>204</v>
      </c>
      <c r="I244" t="s">
        <v>45</v>
      </c>
      <c r="J244" t="s">
        <v>27</v>
      </c>
      <c r="K244" t="s">
        <v>28</v>
      </c>
      <c r="L244" t="s">
        <v>117</v>
      </c>
      <c r="M244">
        <v>6</v>
      </c>
      <c r="N244">
        <v>9054</v>
      </c>
      <c r="O244">
        <v>54324</v>
      </c>
      <c r="P244">
        <v>61463</v>
      </c>
      <c r="Q244" t="s">
        <v>817</v>
      </c>
      <c r="R244">
        <v>2026</v>
      </c>
    </row>
    <row r="245" spans="1:18" x14ac:dyDescent="0.3">
      <c r="A245" t="s">
        <v>818</v>
      </c>
      <c r="B245" t="s">
        <v>819</v>
      </c>
      <c r="C245" t="s">
        <v>820</v>
      </c>
      <c r="D245" t="s">
        <v>21</v>
      </c>
      <c r="E245" t="s">
        <v>57</v>
      </c>
      <c r="F245" t="s">
        <v>23</v>
      </c>
      <c r="G245" t="s">
        <v>83</v>
      </c>
      <c r="H245" t="s">
        <v>84</v>
      </c>
      <c r="I245" t="s">
        <v>45</v>
      </c>
      <c r="J245" t="s">
        <v>27</v>
      </c>
      <c r="K245" t="s">
        <v>38</v>
      </c>
      <c r="L245" t="s">
        <v>29</v>
      </c>
      <c r="M245">
        <v>9</v>
      </c>
      <c r="N245">
        <v>11321</v>
      </c>
      <c r="O245">
        <v>101889</v>
      </c>
      <c r="P245">
        <v>89872</v>
      </c>
      <c r="Q245" t="s">
        <v>821</v>
      </c>
      <c r="R245">
        <v>2026</v>
      </c>
    </row>
    <row r="246" spans="1:18" x14ac:dyDescent="0.3">
      <c r="A246" t="s">
        <v>822</v>
      </c>
      <c r="B246" t="s">
        <v>819</v>
      </c>
      <c r="C246" t="s">
        <v>823</v>
      </c>
      <c r="D246" t="s">
        <v>33</v>
      </c>
      <c r="E246" t="s">
        <v>44</v>
      </c>
      <c r="F246" t="s">
        <v>23</v>
      </c>
      <c r="G246" t="s">
        <v>97</v>
      </c>
      <c r="H246" t="s">
        <v>232</v>
      </c>
      <c r="I246" t="s">
        <v>77</v>
      </c>
      <c r="J246" t="s">
        <v>52</v>
      </c>
      <c r="K246" t="s">
        <v>71</v>
      </c>
      <c r="L246" t="s">
        <v>66</v>
      </c>
      <c r="M246">
        <v>3</v>
      </c>
      <c r="N246">
        <v>29255</v>
      </c>
      <c r="O246">
        <v>87765</v>
      </c>
      <c r="P246">
        <v>104635</v>
      </c>
      <c r="Q246" t="s">
        <v>824</v>
      </c>
      <c r="R246">
        <v>2026</v>
      </c>
    </row>
    <row r="247" spans="1:18" x14ac:dyDescent="0.3">
      <c r="A247" t="s">
        <v>825</v>
      </c>
      <c r="B247" t="s">
        <v>819</v>
      </c>
      <c r="C247" t="s">
        <v>826</v>
      </c>
      <c r="D247" t="s">
        <v>43</v>
      </c>
      <c r="E247" t="s">
        <v>57</v>
      </c>
      <c r="F247" t="s">
        <v>96</v>
      </c>
      <c r="G247" t="s">
        <v>83</v>
      </c>
      <c r="H247" t="s">
        <v>76</v>
      </c>
      <c r="I247" t="s">
        <v>37</v>
      </c>
      <c r="J247" t="s">
        <v>52</v>
      </c>
      <c r="K247" t="s">
        <v>38</v>
      </c>
      <c r="L247" t="s">
        <v>85</v>
      </c>
      <c r="M247">
        <v>7</v>
      </c>
      <c r="N247">
        <v>23889</v>
      </c>
      <c r="O247">
        <v>167223</v>
      </c>
      <c r="P247">
        <v>81313</v>
      </c>
      <c r="Q247" t="s">
        <v>827</v>
      </c>
      <c r="R247">
        <v>2026</v>
      </c>
    </row>
    <row r="248" spans="1:18" x14ac:dyDescent="0.3">
      <c r="A248" t="s">
        <v>828</v>
      </c>
      <c r="B248" t="s">
        <v>819</v>
      </c>
      <c r="C248" t="s">
        <v>829</v>
      </c>
      <c r="D248" t="s">
        <v>43</v>
      </c>
      <c r="E248" t="s">
        <v>82</v>
      </c>
      <c r="F248" t="s">
        <v>75</v>
      </c>
      <c r="G248" t="s">
        <v>89</v>
      </c>
      <c r="H248" t="s">
        <v>218</v>
      </c>
      <c r="I248" t="s">
        <v>26</v>
      </c>
      <c r="J248" t="s">
        <v>59</v>
      </c>
      <c r="K248" t="s">
        <v>71</v>
      </c>
      <c r="L248" t="s">
        <v>66</v>
      </c>
      <c r="M248">
        <v>9</v>
      </c>
      <c r="N248">
        <v>10462</v>
      </c>
      <c r="O248">
        <v>94158</v>
      </c>
      <c r="P248">
        <v>39017</v>
      </c>
      <c r="Q248" t="s">
        <v>830</v>
      </c>
      <c r="R248">
        <v>2026</v>
      </c>
    </row>
    <row r="249" spans="1:18" x14ac:dyDescent="0.3">
      <c r="A249" t="s">
        <v>831</v>
      </c>
      <c r="B249" t="s">
        <v>819</v>
      </c>
      <c r="C249" t="s">
        <v>832</v>
      </c>
      <c r="D249" t="s">
        <v>33</v>
      </c>
      <c r="E249" t="s">
        <v>49</v>
      </c>
      <c r="F249" t="s">
        <v>50</v>
      </c>
      <c r="G249" t="s">
        <v>116</v>
      </c>
      <c r="H249" t="s">
        <v>98</v>
      </c>
      <c r="I249" t="s">
        <v>77</v>
      </c>
      <c r="J249" t="s">
        <v>59</v>
      </c>
      <c r="K249" t="s">
        <v>71</v>
      </c>
      <c r="L249" t="s">
        <v>53</v>
      </c>
      <c r="M249">
        <v>8</v>
      </c>
      <c r="N249">
        <v>13195</v>
      </c>
      <c r="O249">
        <v>105560</v>
      </c>
      <c r="P249">
        <v>146763</v>
      </c>
      <c r="Q249" t="s">
        <v>833</v>
      </c>
      <c r="R249">
        <v>2026</v>
      </c>
    </row>
    <row r="250" spans="1:18" x14ac:dyDescent="0.3">
      <c r="A250" t="s">
        <v>834</v>
      </c>
      <c r="B250" t="s">
        <v>819</v>
      </c>
      <c r="C250" t="s">
        <v>835</v>
      </c>
      <c r="D250" t="s">
        <v>21</v>
      </c>
      <c r="E250" t="s">
        <v>49</v>
      </c>
      <c r="F250" t="s">
        <v>34</v>
      </c>
      <c r="G250" t="s">
        <v>24</v>
      </c>
      <c r="H250" t="s">
        <v>218</v>
      </c>
      <c r="I250" t="s">
        <v>77</v>
      </c>
      <c r="J250" t="s">
        <v>27</v>
      </c>
      <c r="K250" t="s">
        <v>28</v>
      </c>
      <c r="L250" t="s">
        <v>85</v>
      </c>
      <c r="M250">
        <v>9</v>
      </c>
      <c r="N250">
        <v>9970</v>
      </c>
      <c r="O250">
        <v>89730</v>
      </c>
      <c r="P250">
        <v>144941</v>
      </c>
      <c r="Q250" t="s">
        <v>836</v>
      </c>
      <c r="R250">
        <v>2026</v>
      </c>
    </row>
    <row r="251" spans="1:18" x14ac:dyDescent="0.3">
      <c r="A251" t="s">
        <v>837</v>
      </c>
      <c r="B251" t="s">
        <v>819</v>
      </c>
      <c r="C251" t="s">
        <v>838</v>
      </c>
      <c r="D251" t="s">
        <v>43</v>
      </c>
      <c r="E251" t="s">
        <v>44</v>
      </c>
      <c r="F251" t="s">
        <v>23</v>
      </c>
      <c r="G251" t="s">
        <v>24</v>
      </c>
      <c r="H251" t="s">
        <v>147</v>
      </c>
      <c r="I251" t="s">
        <v>77</v>
      </c>
      <c r="J251" t="s">
        <v>59</v>
      </c>
      <c r="K251" t="s">
        <v>71</v>
      </c>
      <c r="L251" t="s">
        <v>53</v>
      </c>
      <c r="M251">
        <v>7</v>
      </c>
      <c r="N251">
        <v>46616</v>
      </c>
      <c r="O251">
        <v>326312</v>
      </c>
      <c r="P251">
        <v>39821</v>
      </c>
      <c r="Q251" t="s">
        <v>839</v>
      </c>
      <c r="R251">
        <v>2026</v>
      </c>
    </row>
    <row r="252" spans="1:18" x14ac:dyDescent="0.3">
      <c r="A252" t="s">
        <v>840</v>
      </c>
      <c r="B252" t="s">
        <v>819</v>
      </c>
      <c r="C252" t="s">
        <v>841</v>
      </c>
      <c r="D252" t="s">
        <v>64</v>
      </c>
      <c r="E252" t="s">
        <v>44</v>
      </c>
      <c r="F252" t="s">
        <v>44</v>
      </c>
      <c r="G252" t="s">
        <v>112</v>
      </c>
      <c r="H252" t="s">
        <v>84</v>
      </c>
      <c r="I252" t="s">
        <v>45</v>
      </c>
      <c r="J252" t="s">
        <v>59</v>
      </c>
      <c r="K252" t="s">
        <v>28</v>
      </c>
      <c r="L252" t="s">
        <v>39</v>
      </c>
      <c r="M252">
        <v>2</v>
      </c>
      <c r="N252">
        <v>17452</v>
      </c>
      <c r="O252">
        <v>34904</v>
      </c>
      <c r="P252">
        <v>96059</v>
      </c>
      <c r="Q252" t="s">
        <v>842</v>
      </c>
      <c r="R252">
        <v>2026</v>
      </c>
    </row>
    <row r="253" spans="1:18" x14ac:dyDescent="0.3">
      <c r="A253" t="s">
        <v>843</v>
      </c>
      <c r="B253" t="s">
        <v>819</v>
      </c>
      <c r="C253" t="s">
        <v>844</v>
      </c>
      <c r="D253" t="s">
        <v>64</v>
      </c>
      <c r="E253" t="s">
        <v>82</v>
      </c>
      <c r="F253" t="s">
        <v>44</v>
      </c>
      <c r="G253" t="s">
        <v>102</v>
      </c>
      <c r="H253" t="s">
        <v>147</v>
      </c>
      <c r="I253" t="s">
        <v>45</v>
      </c>
      <c r="J253" t="s">
        <v>52</v>
      </c>
      <c r="K253" t="s">
        <v>71</v>
      </c>
      <c r="L253" t="s">
        <v>39</v>
      </c>
      <c r="M253">
        <v>4</v>
      </c>
      <c r="N253">
        <v>10278</v>
      </c>
      <c r="O253">
        <v>41112</v>
      </c>
      <c r="P253">
        <v>147683</v>
      </c>
      <c r="Q253" t="s">
        <v>845</v>
      </c>
      <c r="R253">
        <v>2026</v>
      </c>
    </row>
    <row r="254" spans="1:18" x14ac:dyDescent="0.3">
      <c r="A254" t="s">
        <v>846</v>
      </c>
      <c r="B254" t="s">
        <v>819</v>
      </c>
      <c r="C254" t="s">
        <v>847</v>
      </c>
      <c r="D254" t="s">
        <v>64</v>
      </c>
      <c r="E254" t="s">
        <v>44</v>
      </c>
      <c r="F254" t="s">
        <v>34</v>
      </c>
      <c r="G254" t="s">
        <v>112</v>
      </c>
      <c r="H254" t="s">
        <v>103</v>
      </c>
      <c r="I254" t="s">
        <v>45</v>
      </c>
      <c r="J254" t="s">
        <v>52</v>
      </c>
      <c r="K254" t="s">
        <v>28</v>
      </c>
      <c r="L254" t="s">
        <v>125</v>
      </c>
      <c r="M254">
        <v>3</v>
      </c>
      <c r="N254">
        <v>35087</v>
      </c>
      <c r="O254">
        <v>105261</v>
      </c>
      <c r="P254">
        <v>94278</v>
      </c>
      <c r="Q254" t="s">
        <v>848</v>
      </c>
      <c r="R254">
        <v>2026</v>
      </c>
    </row>
    <row r="255" spans="1:18" x14ac:dyDescent="0.3">
      <c r="A255" t="s">
        <v>849</v>
      </c>
      <c r="B255" t="s">
        <v>819</v>
      </c>
      <c r="C255" t="s">
        <v>850</v>
      </c>
      <c r="D255" t="s">
        <v>43</v>
      </c>
      <c r="E255" t="s">
        <v>22</v>
      </c>
      <c r="F255" t="s">
        <v>96</v>
      </c>
      <c r="G255" t="s">
        <v>116</v>
      </c>
      <c r="H255" t="s">
        <v>70</v>
      </c>
      <c r="I255" t="s">
        <v>37</v>
      </c>
      <c r="J255" t="s">
        <v>59</v>
      </c>
      <c r="K255" t="s">
        <v>28</v>
      </c>
      <c r="L255" t="s">
        <v>66</v>
      </c>
      <c r="M255">
        <v>8</v>
      </c>
      <c r="N255">
        <v>42447</v>
      </c>
      <c r="O255">
        <v>339576</v>
      </c>
      <c r="P255">
        <v>11213</v>
      </c>
      <c r="Q255" t="s">
        <v>851</v>
      </c>
      <c r="R255">
        <v>2026</v>
      </c>
    </row>
    <row r="256" spans="1:18" x14ac:dyDescent="0.3">
      <c r="A256" t="s">
        <v>852</v>
      </c>
      <c r="B256" t="s">
        <v>819</v>
      </c>
      <c r="C256" t="s">
        <v>853</v>
      </c>
      <c r="D256" t="s">
        <v>33</v>
      </c>
      <c r="E256" t="s">
        <v>57</v>
      </c>
      <c r="F256" t="s">
        <v>44</v>
      </c>
      <c r="G256" t="s">
        <v>102</v>
      </c>
      <c r="H256" t="s">
        <v>129</v>
      </c>
      <c r="I256" t="s">
        <v>26</v>
      </c>
      <c r="J256" t="s">
        <v>52</v>
      </c>
      <c r="K256" t="s">
        <v>78</v>
      </c>
      <c r="L256" t="s">
        <v>39</v>
      </c>
      <c r="M256">
        <v>7</v>
      </c>
      <c r="N256">
        <v>23177</v>
      </c>
      <c r="O256">
        <v>162239</v>
      </c>
      <c r="P256">
        <v>51380</v>
      </c>
      <c r="Q256" t="s">
        <v>854</v>
      </c>
      <c r="R256">
        <v>2026</v>
      </c>
    </row>
    <row r="257" spans="1:18" x14ac:dyDescent="0.3">
      <c r="A257" t="s">
        <v>855</v>
      </c>
      <c r="B257" t="s">
        <v>819</v>
      </c>
      <c r="C257" t="s">
        <v>856</v>
      </c>
      <c r="D257" t="s">
        <v>43</v>
      </c>
      <c r="E257" t="s">
        <v>44</v>
      </c>
      <c r="F257" t="s">
        <v>96</v>
      </c>
      <c r="G257" t="s">
        <v>83</v>
      </c>
      <c r="H257" t="s">
        <v>84</v>
      </c>
      <c r="I257" t="s">
        <v>26</v>
      </c>
      <c r="J257" t="s">
        <v>59</v>
      </c>
      <c r="K257" t="s">
        <v>28</v>
      </c>
      <c r="L257" t="s">
        <v>60</v>
      </c>
      <c r="M257">
        <v>6</v>
      </c>
      <c r="N257">
        <v>12954</v>
      </c>
      <c r="O257">
        <v>77724</v>
      </c>
      <c r="P257">
        <v>58827</v>
      </c>
      <c r="Q257" t="s">
        <v>857</v>
      </c>
      <c r="R257">
        <v>2026</v>
      </c>
    </row>
    <row r="258" spans="1:18" x14ac:dyDescent="0.3">
      <c r="A258" t="s">
        <v>858</v>
      </c>
      <c r="B258" t="s">
        <v>819</v>
      </c>
      <c r="C258" t="s">
        <v>859</v>
      </c>
      <c r="D258" t="s">
        <v>33</v>
      </c>
      <c r="E258" t="s">
        <v>82</v>
      </c>
      <c r="F258" t="s">
        <v>44</v>
      </c>
      <c r="G258" t="s">
        <v>83</v>
      </c>
      <c r="H258" t="s">
        <v>98</v>
      </c>
      <c r="I258" t="s">
        <v>77</v>
      </c>
      <c r="J258" t="s">
        <v>27</v>
      </c>
      <c r="K258" t="s">
        <v>71</v>
      </c>
      <c r="L258" t="s">
        <v>117</v>
      </c>
      <c r="M258">
        <v>1</v>
      </c>
      <c r="N258">
        <v>6498</v>
      </c>
      <c r="O258">
        <v>6498</v>
      </c>
      <c r="P258">
        <v>149141</v>
      </c>
      <c r="Q258" t="s">
        <v>860</v>
      </c>
      <c r="R258">
        <v>2026</v>
      </c>
    </row>
    <row r="259" spans="1:18" x14ac:dyDescent="0.3">
      <c r="A259" t="s">
        <v>861</v>
      </c>
      <c r="B259" t="s">
        <v>819</v>
      </c>
      <c r="C259" t="s">
        <v>862</v>
      </c>
      <c r="D259" t="s">
        <v>21</v>
      </c>
      <c r="E259" t="s">
        <v>82</v>
      </c>
      <c r="F259" t="s">
        <v>50</v>
      </c>
      <c r="G259" t="s">
        <v>24</v>
      </c>
      <c r="H259" t="s">
        <v>58</v>
      </c>
      <c r="I259" t="s">
        <v>45</v>
      </c>
      <c r="J259" t="s">
        <v>59</v>
      </c>
      <c r="K259" t="s">
        <v>71</v>
      </c>
      <c r="L259" t="s">
        <v>53</v>
      </c>
      <c r="M259">
        <v>2</v>
      </c>
      <c r="N259">
        <v>42995</v>
      </c>
      <c r="O259">
        <v>85990</v>
      </c>
      <c r="P259">
        <v>110471</v>
      </c>
      <c r="Q259" t="s">
        <v>863</v>
      </c>
      <c r="R259">
        <v>2026</v>
      </c>
    </row>
    <row r="260" spans="1:18" x14ac:dyDescent="0.3">
      <c r="A260" t="s">
        <v>864</v>
      </c>
      <c r="B260" t="s">
        <v>819</v>
      </c>
      <c r="C260" t="s">
        <v>865</v>
      </c>
      <c r="D260" t="s">
        <v>64</v>
      </c>
      <c r="E260" t="s">
        <v>49</v>
      </c>
      <c r="F260" t="s">
        <v>50</v>
      </c>
      <c r="G260" t="s">
        <v>116</v>
      </c>
      <c r="H260" t="s">
        <v>36</v>
      </c>
      <c r="I260" t="s">
        <v>37</v>
      </c>
      <c r="J260" t="s">
        <v>27</v>
      </c>
      <c r="K260" t="s">
        <v>78</v>
      </c>
      <c r="L260" t="s">
        <v>125</v>
      </c>
      <c r="M260">
        <v>8</v>
      </c>
      <c r="N260">
        <v>48562</v>
      </c>
      <c r="O260">
        <v>388496</v>
      </c>
      <c r="P260">
        <v>146630</v>
      </c>
      <c r="Q260" t="s">
        <v>866</v>
      </c>
      <c r="R260">
        <v>2026</v>
      </c>
    </row>
    <row r="261" spans="1:18" x14ac:dyDescent="0.3">
      <c r="A261" t="s">
        <v>867</v>
      </c>
      <c r="B261" t="s">
        <v>819</v>
      </c>
      <c r="C261" t="s">
        <v>868</v>
      </c>
      <c r="D261" t="s">
        <v>43</v>
      </c>
      <c r="E261" t="s">
        <v>111</v>
      </c>
      <c r="F261" t="s">
        <v>75</v>
      </c>
      <c r="G261" t="s">
        <v>89</v>
      </c>
      <c r="H261" t="s">
        <v>298</v>
      </c>
      <c r="I261" t="s">
        <v>37</v>
      </c>
      <c r="J261" t="s">
        <v>27</v>
      </c>
      <c r="K261" t="s">
        <v>38</v>
      </c>
      <c r="L261" t="s">
        <v>39</v>
      </c>
      <c r="M261">
        <v>8</v>
      </c>
      <c r="N261">
        <v>40591</v>
      </c>
      <c r="O261">
        <v>324728</v>
      </c>
      <c r="P261">
        <v>93098</v>
      </c>
      <c r="Q261" t="s">
        <v>869</v>
      </c>
      <c r="R261">
        <v>2026</v>
      </c>
    </row>
    <row r="262" spans="1:18" x14ac:dyDescent="0.3">
      <c r="A262" t="s">
        <v>870</v>
      </c>
      <c r="B262" t="s">
        <v>819</v>
      </c>
      <c r="C262" t="s">
        <v>871</v>
      </c>
      <c r="D262" t="s">
        <v>64</v>
      </c>
      <c r="E262" t="s">
        <v>49</v>
      </c>
      <c r="F262" t="s">
        <v>44</v>
      </c>
      <c r="G262" t="s">
        <v>24</v>
      </c>
      <c r="H262" t="s">
        <v>204</v>
      </c>
      <c r="I262" t="s">
        <v>26</v>
      </c>
      <c r="J262" t="s">
        <v>59</v>
      </c>
      <c r="K262" t="s">
        <v>78</v>
      </c>
      <c r="L262" t="s">
        <v>39</v>
      </c>
      <c r="M262">
        <v>10</v>
      </c>
      <c r="N262">
        <v>24440</v>
      </c>
      <c r="O262">
        <v>244400</v>
      </c>
      <c r="P262">
        <v>61831</v>
      </c>
      <c r="Q262" t="s">
        <v>872</v>
      </c>
      <c r="R262">
        <v>2026</v>
      </c>
    </row>
    <row r="263" spans="1:18" x14ac:dyDescent="0.3">
      <c r="A263" t="s">
        <v>873</v>
      </c>
      <c r="B263" t="s">
        <v>819</v>
      </c>
      <c r="C263" t="s">
        <v>874</v>
      </c>
      <c r="D263" t="s">
        <v>21</v>
      </c>
      <c r="E263" t="s">
        <v>49</v>
      </c>
      <c r="F263" t="s">
        <v>44</v>
      </c>
      <c r="G263" t="s">
        <v>83</v>
      </c>
      <c r="H263" t="s">
        <v>103</v>
      </c>
      <c r="I263" t="s">
        <v>45</v>
      </c>
      <c r="J263" t="s">
        <v>52</v>
      </c>
      <c r="K263" t="s">
        <v>78</v>
      </c>
      <c r="L263" t="s">
        <v>117</v>
      </c>
      <c r="M263">
        <v>4</v>
      </c>
      <c r="N263">
        <v>30447</v>
      </c>
      <c r="O263">
        <v>121788</v>
      </c>
      <c r="P263">
        <v>85063</v>
      </c>
      <c r="Q263" t="s">
        <v>875</v>
      </c>
      <c r="R263">
        <v>2026</v>
      </c>
    </row>
    <row r="264" spans="1:18" x14ac:dyDescent="0.3">
      <c r="A264" t="s">
        <v>876</v>
      </c>
      <c r="B264" t="s">
        <v>819</v>
      </c>
      <c r="C264" t="s">
        <v>877</v>
      </c>
      <c r="D264" t="s">
        <v>33</v>
      </c>
      <c r="E264" t="s">
        <v>49</v>
      </c>
      <c r="F264" t="s">
        <v>75</v>
      </c>
      <c r="G264" t="s">
        <v>89</v>
      </c>
      <c r="H264" t="s">
        <v>70</v>
      </c>
      <c r="I264" t="s">
        <v>45</v>
      </c>
      <c r="J264" t="s">
        <v>27</v>
      </c>
      <c r="K264" t="s">
        <v>28</v>
      </c>
      <c r="L264" t="s">
        <v>39</v>
      </c>
      <c r="M264">
        <v>9</v>
      </c>
      <c r="N264">
        <v>38808</v>
      </c>
      <c r="O264">
        <v>349272</v>
      </c>
      <c r="P264">
        <v>123583</v>
      </c>
      <c r="Q264" t="s">
        <v>878</v>
      </c>
      <c r="R264">
        <v>2026</v>
      </c>
    </row>
    <row r="265" spans="1:18" x14ac:dyDescent="0.3">
      <c r="A265" t="s">
        <v>879</v>
      </c>
      <c r="B265" t="s">
        <v>819</v>
      </c>
      <c r="C265" t="s">
        <v>880</v>
      </c>
      <c r="D265" t="s">
        <v>33</v>
      </c>
      <c r="E265" t="s">
        <v>111</v>
      </c>
      <c r="F265" t="s">
        <v>44</v>
      </c>
      <c r="G265" t="s">
        <v>83</v>
      </c>
      <c r="H265" t="s">
        <v>129</v>
      </c>
      <c r="I265" t="s">
        <v>26</v>
      </c>
      <c r="J265" t="s">
        <v>52</v>
      </c>
      <c r="K265" t="s">
        <v>78</v>
      </c>
      <c r="L265" t="s">
        <v>29</v>
      </c>
      <c r="M265">
        <v>3</v>
      </c>
      <c r="N265">
        <v>32958</v>
      </c>
      <c r="O265">
        <v>98874</v>
      </c>
      <c r="P265">
        <v>42856</v>
      </c>
      <c r="Q265" t="s">
        <v>881</v>
      </c>
      <c r="R265">
        <v>2026</v>
      </c>
    </row>
    <row r="266" spans="1:18" x14ac:dyDescent="0.3">
      <c r="A266" t="s">
        <v>882</v>
      </c>
      <c r="B266" t="s">
        <v>819</v>
      </c>
      <c r="C266" t="s">
        <v>883</v>
      </c>
      <c r="D266" t="s">
        <v>33</v>
      </c>
      <c r="E266" t="s">
        <v>57</v>
      </c>
      <c r="F266" t="s">
        <v>75</v>
      </c>
      <c r="G266" t="s">
        <v>112</v>
      </c>
      <c r="H266" t="s">
        <v>25</v>
      </c>
      <c r="I266" t="s">
        <v>26</v>
      </c>
      <c r="J266" t="s">
        <v>52</v>
      </c>
      <c r="K266" t="s">
        <v>28</v>
      </c>
      <c r="L266" t="s">
        <v>60</v>
      </c>
      <c r="M266">
        <v>7</v>
      </c>
      <c r="N266">
        <v>49343</v>
      </c>
      <c r="O266">
        <v>345401</v>
      </c>
      <c r="P266">
        <v>88352</v>
      </c>
      <c r="Q266" t="s">
        <v>884</v>
      </c>
      <c r="R266">
        <v>2026</v>
      </c>
    </row>
    <row r="267" spans="1:18" x14ac:dyDescent="0.3">
      <c r="A267" t="s">
        <v>885</v>
      </c>
      <c r="B267" t="s">
        <v>819</v>
      </c>
      <c r="C267" t="s">
        <v>886</v>
      </c>
      <c r="D267" t="s">
        <v>64</v>
      </c>
      <c r="E267" t="s">
        <v>49</v>
      </c>
      <c r="F267" t="s">
        <v>44</v>
      </c>
      <c r="G267" t="s">
        <v>97</v>
      </c>
      <c r="H267" t="s">
        <v>232</v>
      </c>
      <c r="I267" t="s">
        <v>37</v>
      </c>
      <c r="J267" t="s">
        <v>27</v>
      </c>
      <c r="K267" t="s">
        <v>78</v>
      </c>
      <c r="L267" t="s">
        <v>53</v>
      </c>
      <c r="M267">
        <v>10</v>
      </c>
      <c r="N267">
        <v>31079</v>
      </c>
      <c r="O267">
        <v>310790</v>
      </c>
      <c r="P267">
        <v>17901</v>
      </c>
      <c r="Q267" t="s">
        <v>887</v>
      </c>
      <c r="R267">
        <v>2026</v>
      </c>
    </row>
    <row r="268" spans="1:18" x14ac:dyDescent="0.3">
      <c r="A268" t="s">
        <v>888</v>
      </c>
      <c r="B268" t="s">
        <v>819</v>
      </c>
      <c r="C268" t="s">
        <v>889</v>
      </c>
      <c r="D268" t="s">
        <v>64</v>
      </c>
      <c r="E268" t="s">
        <v>22</v>
      </c>
      <c r="F268" t="s">
        <v>50</v>
      </c>
      <c r="G268" t="s">
        <v>89</v>
      </c>
      <c r="H268" t="s">
        <v>204</v>
      </c>
      <c r="I268" t="s">
        <v>26</v>
      </c>
      <c r="J268" t="s">
        <v>27</v>
      </c>
      <c r="K268" t="s">
        <v>38</v>
      </c>
      <c r="L268" t="s">
        <v>53</v>
      </c>
      <c r="M268">
        <v>1</v>
      </c>
      <c r="N268">
        <v>46335</v>
      </c>
      <c r="O268">
        <v>46335</v>
      </c>
      <c r="P268">
        <v>136096</v>
      </c>
      <c r="Q268" t="s">
        <v>890</v>
      </c>
      <c r="R268">
        <v>2026</v>
      </c>
    </row>
    <row r="269" spans="1:18" x14ac:dyDescent="0.3">
      <c r="A269" t="s">
        <v>891</v>
      </c>
      <c r="B269" t="s">
        <v>819</v>
      </c>
      <c r="C269" t="s">
        <v>892</v>
      </c>
      <c r="D269" t="s">
        <v>21</v>
      </c>
      <c r="E269" t="s">
        <v>44</v>
      </c>
      <c r="F269" t="s">
        <v>23</v>
      </c>
      <c r="G269" t="s">
        <v>24</v>
      </c>
      <c r="H269" t="s">
        <v>84</v>
      </c>
      <c r="I269" t="s">
        <v>45</v>
      </c>
      <c r="J269" t="s">
        <v>27</v>
      </c>
      <c r="K269" t="s">
        <v>71</v>
      </c>
      <c r="L269" t="s">
        <v>53</v>
      </c>
      <c r="M269">
        <v>6</v>
      </c>
      <c r="N269">
        <v>10851</v>
      </c>
      <c r="O269">
        <v>65106</v>
      </c>
      <c r="P269">
        <v>78150</v>
      </c>
      <c r="Q269" t="s">
        <v>893</v>
      </c>
      <c r="R269">
        <v>2026</v>
      </c>
    </row>
    <row r="270" spans="1:18" x14ac:dyDescent="0.3">
      <c r="A270" t="s">
        <v>894</v>
      </c>
      <c r="B270" t="s">
        <v>819</v>
      </c>
      <c r="C270" t="s">
        <v>895</v>
      </c>
      <c r="D270" t="s">
        <v>33</v>
      </c>
      <c r="E270" t="s">
        <v>111</v>
      </c>
      <c r="F270" t="s">
        <v>44</v>
      </c>
      <c r="G270" t="s">
        <v>24</v>
      </c>
      <c r="H270" t="s">
        <v>279</v>
      </c>
      <c r="I270" t="s">
        <v>45</v>
      </c>
      <c r="J270" t="s">
        <v>52</v>
      </c>
      <c r="K270" t="s">
        <v>71</v>
      </c>
      <c r="L270" t="s">
        <v>125</v>
      </c>
      <c r="M270">
        <v>6</v>
      </c>
      <c r="N270">
        <v>45602</v>
      </c>
      <c r="O270">
        <v>273612</v>
      </c>
      <c r="P270">
        <v>91962</v>
      </c>
      <c r="Q270" t="s">
        <v>896</v>
      </c>
      <c r="R270">
        <v>2026</v>
      </c>
    </row>
    <row r="271" spans="1:18" x14ac:dyDescent="0.3">
      <c r="A271" t="s">
        <v>897</v>
      </c>
      <c r="B271" t="s">
        <v>819</v>
      </c>
      <c r="C271" t="s">
        <v>898</v>
      </c>
      <c r="D271" t="s">
        <v>43</v>
      </c>
      <c r="E271" t="s">
        <v>44</v>
      </c>
      <c r="F271" t="s">
        <v>96</v>
      </c>
      <c r="G271" t="s">
        <v>89</v>
      </c>
      <c r="H271" t="s">
        <v>147</v>
      </c>
      <c r="I271" t="s">
        <v>77</v>
      </c>
      <c r="J271" t="s">
        <v>27</v>
      </c>
      <c r="K271" t="s">
        <v>71</v>
      </c>
      <c r="L271" t="s">
        <v>53</v>
      </c>
      <c r="M271">
        <v>1</v>
      </c>
      <c r="N271">
        <v>34642</v>
      </c>
      <c r="O271">
        <v>34642</v>
      </c>
      <c r="P271">
        <v>136389</v>
      </c>
      <c r="Q271" t="s">
        <v>899</v>
      </c>
      <c r="R271">
        <v>2026</v>
      </c>
    </row>
    <row r="272" spans="1:18" x14ac:dyDescent="0.3">
      <c r="A272" t="s">
        <v>900</v>
      </c>
      <c r="B272" t="s">
        <v>819</v>
      </c>
      <c r="C272" t="s">
        <v>901</v>
      </c>
      <c r="D272" t="s">
        <v>43</v>
      </c>
      <c r="E272" t="s">
        <v>49</v>
      </c>
      <c r="F272" t="s">
        <v>50</v>
      </c>
      <c r="G272" t="s">
        <v>83</v>
      </c>
      <c r="H272" t="s">
        <v>65</v>
      </c>
      <c r="I272" t="s">
        <v>26</v>
      </c>
      <c r="J272" t="s">
        <v>27</v>
      </c>
      <c r="K272" t="s">
        <v>28</v>
      </c>
      <c r="L272" t="s">
        <v>125</v>
      </c>
      <c r="M272">
        <v>2</v>
      </c>
      <c r="N272">
        <v>44232</v>
      </c>
      <c r="O272">
        <v>88464</v>
      </c>
      <c r="P272">
        <v>42421</v>
      </c>
      <c r="Q272" t="s">
        <v>902</v>
      </c>
      <c r="R272">
        <v>2026</v>
      </c>
    </row>
    <row r="273" spans="1:18" x14ac:dyDescent="0.3">
      <c r="A273" t="s">
        <v>903</v>
      </c>
      <c r="B273" t="s">
        <v>819</v>
      </c>
      <c r="C273" t="s">
        <v>904</v>
      </c>
      <c r="D273" t="s">
        <v>21</v>
      </c>
      <c r="E273" t="s">
        <v>82</v>
      </c>
      <c r="F273" t="s">
        <v>23</v>
      </c>
      <c r="G273" t="s">
        <v>89</v>
      </c>
      <c r="H273" t="s">
        <v>177</v>
      </c>
      <c r="I273" t="s">
        <v>45</v>
      </c>
      <c r="J273" t="s">
        <v>59</v>
      </c>
      <c r="K273" t="s">
        <v>71</v>
      </c>
      <c r="L273" t="s">
        <v>53</v>
      </c>
      <c r="M273">
        <v>5</v>
      </c>
      <c r="N273">
        <v>32062</v>
      </c>
      <c r="O273">
        <v>160310</v>
      </c>
      <c r="P273">
        <v>41363</v>
      </c>
      <c r="Q273" t="s">
        <v>905</v>
      </c>
      <c r="R273">
        <v>2026</v>
      </c>
    </row>
    <row r="274" spans="1:18" x14ac:dyDescent="0.3">
      <c r="A274" t="s">
        <v>906</v>
      </c>
      <c r="B274" t="s">
        <v>819</v>
      </c>
      <c r="C274" t="s">
        <v>907</v>
      </c>
      <c r="D274" t="s">
        <v>33</v>
      </c>
      <c r="E274" t="s">
        <v>111</v>
      </c>
      <c r="F274" t="s">
        <v>23</v>
      </c>
      <c r="G274" t="s">
        <v>116</v>
      </c>
      <c r="H274" t="s">
        <v>58</v>
      </c>
      <c r="I274" t="s">
        <v>45</v>
      </c>
      <c r="J274" t="s">
        <v>27</v>
      </c>
      <c r="K274" t="s">
        <v>28</v>
      </c>
      <c r="L274" t="s">
        <v>117</v>
      </c>
      <c r="M274">
        <v>1</v>
      </c>
      <c r="N274">
        <v>32274</v>
      </c>
      <c r="O274">
        <v>32274</v>
      </c>
      <c r="P274">
        <v>66135</v>
      </c>
      <c r="Q274" t="s">
        <v>908</v>
      </c>
      <c r="R274">
        <v>2026</v>
      </c>
    </row>
    <row r="275" spans="1:18" x14ac:dyDescent="0.3">
      <c r="A275" t="s">
        <v>909</v>
      </c>
      <c r="B275" t="s">
        <v>910</v>
      </c>
      <c r="C275" t="s">
        <v>911</v>
      </c>
      <c r="D275" t="s">
        <v>33</v>
      </c>
      <c r="E275" t="s">
        <v>57</v>
      </c>
      <c r="F275" t="s">
        <v>23</v>
      </c>
      <c r="G275" t="s">
        <v>24</v>
      </c>
      <c r="H275" t="s">
        <v>154</v>
      </c>
      <c r="I275" t="s">
        <v>77</v>
      </c>
      <c r="J275" t="s">
        <v>27</v>
      </c>
      <c r="K275" t="s">
        <v>28</v>
      </c>
      <c r="L275" t="s">
        <v>125</v>
      </c>
      <c r="M275">
        <v>5</v>
      </c>
      <c r="N275">
        <v>49855</v>
      </c>
      <c r="O275">
        <v>249275</v>
      </c>
      <c r="P275">
        <v>23610</v>
      </c>
      <c r="Q275" t="s">
        <v>912</v>
      </c>
      <c r="R275">
        <v>2026</v>
      </c>
    </row>
    <row r="276" spans="1:18" x14ac:dyDescent="0.3">
      <c r="A276" t="s">
        <v>913</v>
      </c>
      <c r="B276" t="s">
        <v>910</v>
      </c>
      <c r="C276" t="s">
        <v>914</v>
      </c>
      <c r="D276" t="s">
        <v>21</v>
      </c>
      <c r="E276" t="s">
        <v>49</v>
      </c>
      <c r="F276" t="s">
        <v>75</v>
      </c>
      <c r="G276" t="s">
        <v>89</v>
      </c>
      <c r="H276" t="s">
        <v>98</v>
      </c>
      <c r="I276" t="s">
        <v>77</v>
      </c>
      <c r="J276" t="s">
        <v>27</v>
      </c>
      <c r="K276" t="s">
        <v>38</v>
      </c>
      <c r="L276" t="s">
        <v>29</v>
      </c>
      <c r="M276">
        <v>9</v>
      </c>
      <c r="N276">
        <v>36871</v>
      </c>
      <c r="O276">
        <v>331839</v>
      </c>
      <c r="P276">
        <v>56292</v>
      </c>
      <c r="Q276" t="s">
        <v>915</v>
      </c>
      <c r="R276">
        <v>2026</v>
      </c>
    </row>
    <row r="277" spans="1:18" x14ac:dyDescent="0.3">
      <c r="A277" t="s">
        <v>916</v>
      </c>
      <c r="B277" t="s">
        <v>910</v>
      </c>
      <c r="C277" t="s">
        <v>917</v>
      </c>
      <c r="D277" t="s">
        <v>64</v>
      </c>
      <c r="E277" t="s">
        <v>22</v>
      </c>
      <c r="F277" t="s">
        <v>75</v>
      </c>
      <c r="G277" t="s">
        <v>116</v>
      </c>
      <c r="H277" t="s">
        <v>129</v>
      </c>
      <c r="I277" t="s">
        <v>77</v>
      </c>
      <c r="J277" t="s">
        <v>59</v>
      </c>
      <c r="K277" t="s">
        <v>28</v>
      </c>
      <c r="L277" t="s">
        <v>66</v>
      </c>
      <c r="M277">
        <v>5</v>
      </c>
      <c r="N277">
        <v>31022</v>
      </c>
      <c r="O277">
        <v>155110</v>
      </c>
      <c r="P277">
        <v>31058</v>
      </c>
      <c r="Q277" t="s">
        <v>918</v>
      </c>
      <c r="R277">
        <v>2026</v>
      </c>
    </row>
    <row r="278" spans="1:18" x14ac:dyDescent="0.3">
      <c r="A278" t="s">
        <v>919</v>
      </c>
      <c r="B278" t="s">
        <v>910</v>
      </c>
      <c r="C278" t="s">
        <v>920</v>
      </c>
      <c r="D278" t="s">
        <v>43</v>
      </c>
      <c r="E278" t="s">
        <v>111</v>
      </c>
      <c r="F278" t="s">
        <v>50</v>
      </c>
      <c r="G278" t="s">
        <v>83</v>
      </c>
      <c r="H278" t="s">
        <v>107</v>
      </c>
      <c r="I278" t="s">
        <v>77</v>
      </c>
      <c r="J278" t="s">
        <v>27</v>
      </c>
      <c r="K278" t="s">
        <v>28</v>
      </c>
      <c r="L278" t="s">
        <v>60</v>
      </c>
      <c r="M278">
        <v>6</v>
      </c>
      <c r="N278">
        <v>3117</v>
      </c>
      <c r="O278">
        <v>18702</v>
      </c>
      <c r="P278">
        <v>12334</v>
      </c>
      <c r="Q278" t="s">
        <v>921</v>
      </c>
      <c r="R278">
        <v>2026</v>
      </c>
    </row>
    <row r="279" spans="1:18" x14ac:dyDescent="0.3">
      <c r="A279" t="s">
        <v>922</v>
      </c>
      <c r="B279" t="s">
        <v>910</v>
      </c>
      <c r="C279" t="s">
        <v>923</v>
      </c>
      <c r="D279" t="s">
        <v>64</v>
      </c>
      <c r="E279" t="s">
        <v>111</v>
      </c>
      <c r="F279" t="s">
        <v>96</v>
      </c>
      <c r="G279" t="s">
        <v>97</v>
      </c>
      <c r="H279" t="s">
        <v>302</v>
      </c>
      <c r="I279" t="s">
        <v>26</v>
      </c>
      <c r="J279" t="s">
        <v>59</v>
      </c>
      <c r="K279" t="s">
        <v>38</v>
      </c>
      <c r="L279" t="s">
        <v>66</v>
      </c>
      <c r="M279">
        <v>5</v>
      </c>
      <c r="N279">
        <v>20527</v>
      </c>
      <c r="O279">
        <v>102635</v>
      </c>
      <c r="P279">
        <v>130949</v>
      </c>
      <c r="Q279" t="s">
        <v>860</v>
      </c>
      <c r="R279">
        <v>2026</v>
      </c>
    </row>
    <row r="280" spans="1:18" x14ac:dyDescent="0.3">
      <c r="A280" t="s">
        <v>924</v>
      </c>
      <c r="B280" t="s">
        <v>910</v>
      </c>
      <c r="C280" t="s">
        <v>925</v>
      </c>
      <c r="D280" t="s">
        <v>64</v>
      </c>
      <c r="E280" t="s">
        <v>44</v>
      </c>
      <c r="F280" t="s">
        <v>75</v>
      </c>
      <c r="G280" t="s">
        <v>112</v>
      </c>
      <c r="H280" t="s">
        <v>147</v>
      </c>
      <c r="I280" t="s">
        <v>77</v>
      </c>
      <c r="J280" t="s">
        <v>52</v>
      </c>
      <c r="K280" t="s">
        <v>71</v>
      </c>
      <c r="L280" t="s">
        <v>53</v>
      </c>
      <c r="M280">
        <v>2</v>
      </c>
      <c r="N280">
        <v>35566</v>
      </c>
      <c r="O280">
        <v>71132</v>
      </c>
      <c r="P280">
        <v>51108</v>
      </c>
      <c r="Q280" t="s">
        <v>926</v>
      </c>
      <c r="R280">
        <v>2026</v>
      </c>
    </row>
    <row r="281" spans="1:18" x14ac:dyDescent="0.3">
      <c r="A281" t="s">
        <v>927</v>
      </c>
      <c r="B281" t="s">
        <v>910</v>
      </c>
      <c r="C281" t="s">
        <v>928</v>
      </c>
      <c r="D281" t="s">
        <v>43</v>
      </c>
      <c r="E281" t="s">
        <v>57</v>
      </c>
      <c r="F281" t="s">
        <v>23</v>
      </c>
      <c r="G281" t="s">
        <v>102</v>
      </c>
      <c r="H281" t="s">
        <v>129</v>
      </c>
      <c r="I281" t="s">
        <v>77</v>
      </c>
      <c r="J281" t="s">
        <v>27</v>
      </c>
      <c r="K281" t="s">
        <v>38</v>
      </c>
      <c r="L281" t="s">
        <v>117</v>
      </c>
      <c r="M281">
        <v>9</v>
      </c>
      <c r="N281">
        <v>4870</v>
      </c>
      <c r="O281">
        <v>43830</v>
      </c>
      <c r="P281">
        <v>84797</v>
      </c>
      <c r="Q281" t="s">
        <v>929</v>
      </c>
      <c r="R281">
        <v>2026</v>
      </c>
    </row>
    <row r="282" spans="1:18" x14ac:dyDescent="0.3">
      <c r="A282" t="s">
        <v>930</v>
      </c>
      <c r="B282" t="s">
        <v>910</v>
      </c>
      <c r="C282" t="s">
        <v>931</v>
      </c>
      <c r="D282" t="s">
        <v>64</v>
      </c>
      <c r="E282" t="s">
        <v>22</v>
      </c>
      <c r="F282" t="s">
        <v>75</v>
      </c>
      <c r="G282" t="s">
        <v>112</v>
      </c>
      <c r="H282" t="s">
        <v>177</v>
      </c>
      <c r="I282" t="s">
        <v>45</v>
      </c>
      <c r="J282" t="s">
        <v>52</v>
      </c>
      <c r="K282" t="s">
        <v>71</v>
      </c>
      <c r="L282" t="s">
        <v>60</v>
      </c>
      <c r="M282">
        <v>6</v>
      </c>
      <c r="N282">
        <v>12485</v>
      </c>
      <c r="O282">
        <v>74910</v>
      </c>
      <c r="P282">
        <v>117206</v>
      </c>
      <c r="Q282" t="s">
        <v>932</v>
      </c>
      <c r="R282">
        <v>2026</v>
      </c>
    </row>
    <row r="283" spans="1:18" x14ac:dyDescent="0.3">
      <c r="A283" t="s">
        <v>933</v>
      </c>
      <c r="B283" t="s">
        <v>910</v>
      </c>
      <c r="C283" t="s">
        <v>934</v>
      </c>
      <c r="D283" t="s">
        <v>33</v>
      </c>
      <c r="E283" t="s">
        <v>49</v>
      </c>
      <c r="F283" t="s">
        <v>44</v>
      </c>
      <c r="G283" t="s">
        <v>24</v>
      </c>
      <c r="H283" t="s">
        <v>279</v>
      </c>
      <c r="I283" t="s">
        <v>77</v>
      </c>
      <c r="J283" t="s">
        <v>27</v>
      </c>
      <c r="K283" t="s">
        <v>38</v>
      </c>
      <c r="L283" t="s">
        <v>39</v>
      </c>
      <c r="M283">
        <v>7</v>
      </c>
      <c r="N283">
        <v>37332</v>
      </c>
      <c r="O283">
        <v>261324</v>
      </c>
      <c r="P283">
        <v>36519</v>
      </c>
      <c r="Q283" t="s">
        <v>935</v>
      </c>
      <c r="R283">
        <v>2026</v>
      </c>
    </row>
    <row r="284" spans="1:18" x14ac:dyDescent="0.3">
      <c r="A284" t="s">
        <v>936</v>
      </c>
      <c r="B284" t="s">
        <v>910</v>
      </c>
      <c r="C284" t="s">
        <v>937</v>
      </c>
      <c r="D284" t="s">
        <v>21</v>
      </c>
      <c r="E284" t="s">
        <v>82</v>
      </c>
      <c r="F284" t="s">
        <v>34</v>
      </c>
      <c r="G284" t="s">
        <v>83</v>
      </c>
      <c r="H284" t="s">
        <v>279</v>
      </c>
      <c r="I284" t="s">
        <v>77</v>
      </c>
      <c r="J284" t="s">
        <v>27</v>
      </c>
      <c r="K284" t="s">
        <v>28</v>
      </c>
      <c r="L284" t="s">
        <v>53</v>
      </c>
      <c r="M284">
        <v>2</v>
      </c>
      <c r="N284">
        <v>16294</v>
      </c>
      <c r="O284">
        <v>32588</v>
      </c>
      <c r="P284">
        <v>71734</v>
      </c>
      <c r="Q284" t="s">
        <v>938</v>
      </c>
      <c r="R284">
        <v>2026</v>
      </c>
    </row>
    <row r="285" spans="1:18" x14ac:dyDescent="0.3">
      <c r="A285" t="s">
        <v>939</v>
      </c>
      <c r="B285" t="s">
        <v>910</v>
      </c>
      <c r="C285" t="s">
        <v>940</v>
      </c>
      <c r="D285" t="s">
        <v>64</v>
      </c>
      <c r="E285" t="s">
        <v>49</v>
      </c>
      <c r="F285" t="s">
        <v>44</v>
      </c>
      <c r="G285" t="s">
        <v>89</v>
      </c>
      <c r="H285" t="s">
        <v>228</v>
      </c>
      <c r="I285" t="s">
        <v>45</v>
      </c>
      <c r="J285" t="s">
        <v>52</v>
      </c>
      <c r="K285" t="s">
        <v>38</v>
      </c>
      <c r="L285" t="s">
        <v>39</v>
      </c>
      <c r="M285">
        <v>9</v>
      </c>
      <c r="N285">
        <v>28351</v>
      </c>
      <c r="O285">
        <v>255159</v>
      </c>
      <c r="P285">
        <v>144762</v>
      </c>
      <c r="Q285" t="s">
        <v>890</v>
      </c>
      <c r="R285">
        <v>2026</v>
      </c>
    </row>
    <row r="286" spans="1:18" x14ac:dyDescent="0.3">
      <c r="A286" t="s">
        <v>941</v>
      </c>
      <c r="B286" t="s">
        <v>910</v>
      </c>
      <c r="C286" t="s">
        <v>942</v>
      </c>
      <c r="D286" t="s">
        <v>33</v>
      </c>
      <c r="E286" t="s">
        <v>22</v>
      </c>
      <c r="F286" t="s">
        <v>50</v>
      </c>
      <c r="G286" t="s">
        <v>89</v>
      </c>
      <c r="H286" t="s">
        <v>76</v>
      </c>
      <c r="I286" t="s">
        <v>26</v>
      </c>
      <c r="J286" t="s">
        <v>27</v>
      </c>
      <c r="K286" t="s">
        <v>71</v>
      </c>
      <c r="L286" t="s">
        <v>53</v>
      </c>
      <c r="M286">
        <v>2</v>
      </c>
      <c r="N286">
        <v>32454</v>
      </c>
      <c r="O286">
        <v>64908</v>
      </c>
      <c r="P286">
        <v>23837</v>
      </c>
      <c r="Q286" t="s">
        <v>943</v>
      </c>
      <c r="R286">
        <v>2026</v>
      </c>
    </row>
    <row r="287" spans="1:18" x14ac:dyDescent="0.3">
      <c r="A287" t="s">
        <v>944</v>
      </c>
      <c r="B287" t="s">
        <v>910</v>
      </c>
      <c r="C287" t="s">
        <v>945</v>
      </c>
      <c r="D287" t="s">
        <v>21</v>
      </c>
      <c r="E287" t="s">
        <v>22</v>
      </c>
      <c r="F287" t="s">
        <v>44</v>
      </c>
      <c r="G287" t="s">
        <v>112</v>
      </c>
      <c r="H287" t="s">
        <v>218</v>
      </c>
      <c r="I287" t="s">
        <v>77</v>
      </c>
      <c r="J287" t="s">
        <v>59</v>
      </c>
      <c r="K287" t="s">
        <v>71</v>
      </c>
      <c r="L287" t="s">
        <v>66</v>
      </c>
      <c r="M287">
        <v>3</v>
      </c>
      <c r="N287">
        <v>31991</v>
      </c>
      <c r="O287">
        <v>95973</v>
      </c>
      <c r="P287">
        <v>12880</v>
      </c>
      <c r="Q287" t="s">
        <v>946</v>
      </c>
      <c r="R287">
        <v>2026</v>
      </c>
    </row>
    <row r="288" spans="1:18" x14ac:dyDescent="0.3">
      <c r="A288" t="s">
        <v>947</v>
      </c>
      <c r="B288" t="s">
        <v>910</v>
      </c>
      <c r="C288" t="s">
        <v>948</v>
      </c>
      <c r="D288" t="s">
        <v>33</v>
      </c>
      <c r="E288" t="s">
        <v>82</v>
      </c>
      <c r="F288" t="s">
        <v>75</v>
      </c>
      <c r="G288" t="s">
        <v>83</v>
      </c>
      <c r="H288" t="s">
        <v>279</v>
      </c>
      <c r="I288" t="s">
        <v>77</v>
      </c>
      <c r="J288" t="s">
        <v>52</v>
      </c>
      <c r="K288" t="s">
        <v>78</v>
      </c>
      <c r="L288" t="s">
        <v>60</v>
      </c>
      <c r="M288">
        <v>6</v>
      </c>
      <c r="N288">
        <v>17697</v>
      </c>
      <c r="O288">
        <v>106182</v>
      </c>
      <c r="P288">
        <v>25901</v>
      </c>
      <c r="Q288" t="s">
        <v>949</v>
      </c>
      <c r="R288">
        <v>2026</v>
      </c>
    </row>
    <row r="289" spans="1:18" x14ac:dyDescent="0.3">
      <c r="A289" t="s">
        <v>950</v>
      </c>
      <c r="B289" t="s">
        <v>910</v>
      </c>
      <c r="C289" t="s">
        <v>951</v>
      </c>
      <c r="D289" t="s">
        <v>33</v>
      </c>
      <c r="E289" t="s">
        <v>44</v>
      </c>
      <c r="F289" t="s">
        <v>34</v>
      </c>
      <c r="G289" t="s">
        <v>83</v>
      </c>
      <c r="H289" t="s">
        <v>36</v>
      </c>
      <c r="I289" t="s">
        <v>77</v>
      </c>
      <c r="J289" t="s">
        <v>52</v>
      </c>
      <c r="K289" t="s">
        <v>71</v>
      </c>
      <c r="L289" t="s">
        <v>29</v>
      </c>
      <c r="M289">
        <v>8</v>
      </c>
      <c r="N289">
        <v>43309</v>
      </c>
      <c r="O289">
        <v>346472</v>
      </c>
      <c r="P289">
        <v>82666</v>
      </c>
      <c r="Q289" t="s">
        <v>952</v>
      </c>
      <c r="R289">
        <v>2026</v>
      </c>
    </row>
    <row r="290" spans="1:18" x14ac:dyDescent="0.3">
      <c r="A290" t="s">
        <v>953</v>
      </c>
      <c r="B290" t="s">
        <v>910</v>
      </c>
      <c r="C290" t="s">
        <v>954</v>
      </c>
      <c r="D290" t="s">
        <v>64</v>
      </c>
      <c r="E290" t="s">
        <v>82</v>
      </c>
      <c r="F290" t="s">
        <v>34</v>
      </c>
      <c r="G290" t="s">
        <v>116</v>
      </c>
      <c r="H290" t="s">
        <v>139</v>
      </c>
      <c r="I290" t="s">
        <v>77</v>
      </c>
      <c r="J290" t="s">
        <v>59</v>
      </c>
      <c r="K290" t="s">
        <v>78</v>
      </c>
      <c r="L290" t="s">
        <v>85</v>
      </c>
      <c r="M290">
        <v>7</v>
      </c>
      <c r="N290">
        <v>20607</v>
      </c>
      <c r="O290">
        <v>144249</v>
      </c>
      <c r="P290">
        <v>98430</v>
      </c>
      <c r="Q290" t="s">
        <v>955</v>
      </c>
      <c r="R290">
        <v>2026</v>
      </c>
    </row>
    <row r="291" spans="1:18" x14ac:dyDescent="0.3">
      <c r="A291" t="s">
        <v>956</v>
      </c>
      <c r="B291" t="s">
        <v>910</v>
      </c>
      <c r="C291" t="s">
        <v>957</v>
      </c>
      <c r="D291" t="s">
        <v>43</v>
      </c>
      <c r="E291" t="s">
        <v>44</v>
      </c>
      <c r="F291" t="s">
        <v>50</v>
      </c>
      <c r="G291" t="s">
        <v>89</v>
      </c>
      <c r="H291" t="s">
        <v>211</v>
      </c>
      <c r="I291" t="s">
        <v>77</v>
      </c>
      <c r="J291" t="s">
        <v>59</v>
      </c>
      <c r="K291" t="s">
        <v>28</v>
      </c>
      <c r="L291" t="s">
        <v>125</v>
      </c>
      <c r="M291">
        <v>7</v>
      </c>
      <c r="N291">
        <v>772</v>
      </c>
      <c r="O291">
        <v>5404</v>
      </c>
      <c r="P291">
        <v>48218</v>
      </c>
      <c r="Q291" t="s">
        <v>958</v>
      </c>
      <c r="R291">
        <v>2026</v>
      </c>
    </row>
    <row r="292" spans="1:18" x14ac:dyDescent="0.3">
      <c r="A292" t="s">
        <v>959</v>
      </c>
      <c r="B292" t="s">
        <v>910</v>
      </c>
      <c r="C292" t="s">
        <v>960</v>
      </c>
      <c r="D292" t="s">
        <v>43</v>
      </c>
      <c r="E292" t="s">
        <v>44</v>
      </c>
      <c r="F292" t="s">
        <v>75</v>
      </c>
      <c r="G292" t="s">
        <v>24</v>
      </c>
      <c r="H292" t="s">
        <v>376</v>
      </c>
      <c r="I292" t="s">
        <v>26</v>
      </c>
      <c r="J292" t="s">
        <v>59</v>
      </c>
      <c r="K292" t="s">
        <v>78</v>
      </c>
      <c r="L292" t="s">
        <v>29</v>
      </c>
      <c r="M292">
        <v>10</v>
      </c>
      <c r="N292">
        <v>43573</v>
      </c>
      <c r="O292">
        <v>435730</v>
      </c>
      <c r="P292">
        <v>51047</v>
      </c>
      <c r="Q292" t="s">
        <v>961</v>
      </c>
      <c r="R292">
        <v>2026</v>
      </c>
    </row>
    <row r="293" spans="1:18" x14ac:dyDescent="0.3">
      <c r="A293" t="s">
        <v>962</v>
      </c>
      <c r="B293" t="s">
        <v>910</v>
      </c>
      <c r="C293" t="s">
        <v>963</v>
      </c>
      <c r="D293" t="s">
        <v>43</v>
      </c>
      <c r="E293" t="s">
        <v>57</v>
      </c>
      <c r="F293" t="s">
        <v>96</v>
      </c>
      <c r="G293" t="s">
        <v>35</v>
      </c>
      <c r="H293" t="s">
        <v>218</v>
      </c>
      <c r="I293" t="s">
        <v>45</v>
      </c>
      <c r="J293" t="s">
        <v>59</v>
      </c>
      <c r="K293" t="s">
        <v>28</v>
      </c>
      <c r="L293" t="s">
        <v>66</v>
      </c>
      <c r="M293">
        <v>9</v>
      </c>
      <c r="N293">
        <v>8382</v>
      </c>
      <c r="O293">
        <v>75438</v>
      </c>
      <c r="P293">
        <v>66289</v>
      </c>
      <c r="Q293" t="s">
        <v>964</v>
      </c>
      <c r="R293">
        <v>2026</v>
      </c>
    </row>
    <row r="294" spans="1:18" x14ac:dyDescent="0.3">
      <c r="A294" t="s">
        <v>965</v>
      </c>
      <c r="B294" t="s">
        <v>910</v>
      </c>
      <c r="C294" t="s">
        <v>966</v>
      </c>
      <c r="D294" t="s">
        <v>33</v>
      </c>
      <c r="E294" t="s">
        <v>57</v>
      </c>
      <c r="F294" t="s">
        <v>96</v>
      </c>
      <c r="G294" t="s">
        <v>35</v>
      </c>
      <c r="H294" t="s">
        <v>139</v>
      </c>
      <c r="I294" t="s">
        <v>26</v>
      </c>
      <c r="J294" t="s">
        <v>27</v>
      </c>
      <c r="K294" t="s">
        <v>28</v>
      </c>
      <c r="L294" t="s">
        <v>66</v>
      </c>
      <c r="M294">
        <v>7</v>
      </c>
      <c r="N294">
        <v>11262</v>
      </c>
      <c r="O294">
        <v>78834</v>
      </c>
      <c r="P294">
        <v>136416</v>
      </c>
      <c r="Q294" t="s">
        <v>967</v>
      </c>
      <c r="R294">
        <v>2026</v>
      </c>
    </row>
    <row r="295" spans="1:18" x14ac:dyDescent="0.3">
      <c r="A295" t="s">
        <v>968</v>
      </c>
      <c r="B295" t="s">
        <v>910</v>
      </c>
      <c r="C295" t="s">
        <v>969</v>
      </c>
      <c r="D295" t="s">
        <v>21</v>
      </c>
      <c r="E295" t="s">
        <v>57</v>
      </c>
      <c r="F295" t="s">
        <v>44</v>
      </c>
      <c r="G295" t="s">
        <v>89</v>
      </c>
      <c r="H295" t="s">
        <v>84</v>
      </c>
      <c r="I295" t="s">
        <v>26</v>
      </c>
      <c r="J295" t="s">
        <v>52</v>
      </c>
      <c r="K295" t="s">
        <v>71</v>
      </c>
      <c r="L295" t="s">
        <v>125</v>
      </c>
      <c r="M295">
        <v>4</v>
      </c>
      <c r="N295">
        <v>6567</v>
      </c>
      <c r="O295">
        <v>26268</v>
      </c>
      <c r="P295">
        <v>91597</v>
      </c>
      <c r="Q295" t="s">
        <v>970</v>
      </c>
      <c r="R295">
        <v>2026</v>
      </c>
    </row>
    <row r="296" spans="1:18" x14ac:dyDescent="0.3">
      <c r="A296" t="s">
        <v>971</v>
      </c>
      <c r="B296" t="s">
        <v>910</v>
      </c>
      <c r="C296" t="s">
        <v>972</v>
      </c>
      <c r="D296" t="s">
        <v>64</v>
      </c>
      <c r="E296" t="s">
        <v>22</v>
      </c>
      <c r="F296" t="s">
        <v>34</v>
      </c>
      <c r="G296" t="s">
        <v>89</v>
      </c>
      <c r="H296" t="s">
        <v>70</v>
      </c>
      <c r="I296" t="s">
        <v>26</v>
      </c>
      <c r="J296" t="s">
        <v>59</v>
      </c>
      <c r="K296" t="s">
        <v>78</v>
      </c>
      <c r="L296" t="s">
        <v>60</v>
      </c>
      <c r="M296">
        <v>7</v>
      </c>
      <c r="N296">
        <v>41814</v>
      </c>
      <c r="O296">
        <v>292698</v>
      </c>
      <c r="P296">
        <v>58294</v>
      </c>
      <c r="Q296" t="s">
        <v>973</v>
      </c>
      <c r="R296">
        <v>2026</v>
      </c>
    </row>
    <row r="297" spans="1:18" x14ac:dyDescent="0.3">
      <c r="A297" t="s">
        <v>974</v>
      </c>
      <c r="B297" t="s">
        <v>910</v>
      </c>
      <c r="C297" t="s">
        <v>975</v>
      </c>
      <c r="D297" t="s">
        <v>21</v>
      </c>
      <c r="E297" t="s">
        <v>82</v>
      </c>
      <c r="F297" t="s">
        <v>50</v>
      </c>
      <c r="G297" t="s">
        <v>89</v>
      </c>
      <c r="H297" t="s">
        <v>129</v>
      </c>
      <c r="I297" t="s">
        <v>37</v>
      </c>
      <c r="J297" t="s">
        <v>59</v>
      </c>
      <c r="K297" t="s">
        <v>28</v>
      </c>
      <c r="L297" t="s">
        <v>53</v>
      </c>
      <c r="M297">
        <v>9</v>
      </c>
      <c r="N297">
        <v>46407</v>
      </c>
      <c r="O297">
        <v>417663</v>
      </c>
      <c r="P297">
        <v>54214</v>
      </c>
      <c r="Q297" t="s">
        <v>976</v>
      </c>
      <c r="R297">
        <v>2026</v>
      </c>
    </row>
    <row r="298" spans="1:18" x14ac:dyDescent="0.3">
      <c r="A298" t="s">
        <v>977</v>
      </c>
      <c r="B298" t="s">
        <v>910</v>
      </c>
      <c r="C298" t="s">
        <v>978</v>
      </c>
      <c r="D298" t="s">
        <v>21</v>
      </c>
      <c r="E298" t="s">
        <v>111</v>
      </c>
      <c r="F298" t="s">
        <v>23</v>
      </c>
      <c r="G298" t="s">
        <v>112</v>
      </c>
      <c r="H298" t="s">
        <v>51</v>
      </c>
      <c r="I298" t="s">
        <v>45</v>
      </c>
      <c r="J298" t="s">
        <v>59</v>
      </c>
      <c r="K298" t="s">
        <v>28</v>
      </c>
      <c r="L298" t="s">
        <v>29</v>
      </c>
      <c r="M298">
        <v>3</v>
      </c>
      <c r="N298">
        <v>30285</v>
      </c>
      <c r="O298">
        <v>90855</v>
      </c>
      <c r="P298">
        <v>16154</v>
      </c>
      <c r="Q298" t="s">
        <v>979</v>
      </c>
      <c r="R298">
        <v>2026</v>
      </c>
    </row>
    <row r="299" spans="1:18" x14ac:dyDescent="0.3">
      <c r="A299" t="s">
        <v>980</v>
      </c>
      <c r="B299" t="s">
        <v>910</v>
      </c>
      <c r="C299" t="s">
        <v>981</v>
      </c>
      <c r="D299" t="s">
        <v>33</v>
      </c>
      <c r="E299" t="s">
        <v>49</v>
      </c>
      <c r="F299" t="s">
        <v>44</v>
      </c>
      <c r="G299" t="s">
        <v>102</v>
      </c>
      <c r="H299" t="s">
        <v>376</v>
      </c>
      <c r="I299" t="s">
        <v>77</v>
      </c>
      <c r="J299" t="s">
        <v>59</v>
      </c>
      <c r="K299" t="s">
        <v>38</v>
      </c>
      <c r="L299" t="s">
        <v>117</v>
      </c>
      <c r="M299">
        <v>8</v>
      </c>
      <c r="N299">
        <v>33845</v>
      </c>
      <c r="O299">
        <v>270760</v>
      </c>
      <c r="P299">
        <v>85785</v>
      </c>
      <c r="Q299" t="s">
        <v>982</v>
      </c>
      <c r="R299">
        <v>2026</v>
      </c>
    </row>
    <row r="300" spans="1:18" x14ac:dyDescent="0.3">
      <c r="A300" t="s">
        <v>983</v>
      </c>
      <c r="B300" t="s">
        <v>910</v>
      </c>
      <c r="C300" t="s">
        <v>984</v>
      </c>
      <c r="D300" t="s">
        <v>64</v>
      </c>
      <c r="E300" t="s">
        <v>111</v>
      </c>
      <c r="F300" t="s">
        <v>44</v>
      </c>
      <c r="G300" t="s">
        <v>35</v>
      </c>
      <c r="H300" t="s">
        <v>51</v>
      </c>
      <c r="I300" t="s">
        <v>37</v>
      </c>
      <c r="J300" t="s">
        <v>52</v>
      </c>
      <c r="K300" t="s">
        <v>38</v>
      </c>
      <c r="L300" t="s">
        <v>39</v>
      </c>
      <c r="M300">
        <v>3</v>
      </c>
      <c r="N300">
        <v>48683</v>
      </c>
      <c r="O300">
        <v>146049</v>
      </c>
      <c r="P300">
        <v>135939</v>
      </c>
      <c r="Q300" t="s">
        <v>985</v>
      </c>
      <c r="R300">
        <v>2026</v>
      </c>
    </row>
    <row r="301" spans="1:18" x14ac:dyDescent="0.3">
      <c r="A301" t="s">
        <v>986</v>
      </c>
      <c r="B301" t="s">
        <v>910</v>
      </c>
      <c r="C301" t="s">
        <v>987</v>
      </c>
      <c r="D301" t="s">
        <v>43</v>
      </c>
      <c r="E301" t="s">
        <v>57</v>
      </c>
      <c r="F301" t="s">
        <v>44</v>
      </c>
      <c r="G301" t="s">
        <v>102</v>
      </c>
      <c r="H301" t="s">
        <v>200</v>
      </c>
      <c r="I301" t="s">
        <v>26</v>
      </c>
      <c r="J301" t="s">
        <v>59</v>
      </c>
      <c r="K301" t="s">
        <v>28</v>
      </c>
      <c r="L301" t="s">
        <v>29</v>
      </c>
      <c r="M301">
        <v>10</v>
      </c>
      <c r="N301">
        <v>28996</v>
      </c>
      <c r="O301">
        <v>289960</v>
      </c>
      <c r="P301">
        <v>40533</v>
      </c>
      <c r="Q301" t="s">
        <v>988</v>
      </c>
      <c r="R301">
        <v>2026</v>
      </c>
    </row>
    <row r="302" spans="1:18" x14ac:dyDescent="0.3">
      <c r="A302" t="s">
        <v>989</v>
      </c>
      <c r="B302" t="s">
        <v>910</v>
      </c>
      <c r="C302" t="s">
        <v>990</v>
      </c>
      <c r="D302" t="s">
        <v>64</v>
      </c>
      <c r="E302" t="s">
        <v>82</v>
      </c>
      <c r="F302" t="s">
        <v>23</v>
      </c>
      <c r="G302" t="s">
        <v>112</v>
      </c>
      <c r="H302" t="s">
        <v>76</v>
      </c>
      <c r="I302" t="s">
        <v>77</v>
      </c>
      <c r="J302" t="s">
        <v>52</v>
      </c>
      <c r="K302" t="s">
        <v>38</v>
      </c>
      <c r="L302" t="s">
        <v>29</v>
      </c>
      <c r="M302">
        <v>2</v>
      </c>
      <c r="N302">
        <v>42211</v>
      </c>
      <c r="O302">
        <v>84422</v>
      </c>
      <c r="P302">
        <v>81055</v>
      </c>
      <c r="Q302" t="s">
        <v>991</v>
      </c>
      <c r="R302">
        <v>2026</v>
      </c>
    </row>
    <row r="303" spans="1:18" x14ac:dyDescent="0.3">
      <c r="A303" t="s">
        <v>992</v>
      </c>
      <c r="B303" t="s">
        <v>910</v>
      </c>
      <c r="C303" t="s">
        <v>993</v>
      </c>
      <c r="D303" t="s">
        <v>43</v>
      </c>
      <c r="E303" t="s">
        <v>111</v>
      </c>
      <c r="F303" t="s">
        <v>34</v>
      </c>
      <c r="G303" t="s">
        <v>97</v>
      </c>
      <c r="H303" t="s">
        <v>218</v>
      </c>
      <c r="I303" t="s">
        <v>26</v>
      </c>
      <c r="J303" t="s">
        <v>59</v>
      </c>
      <c r="K303" t="s">
        <v>78</v>
      </c>
      <c r="L303" t="s">
        <v>85</v>
      </c>
      <c r="M303">
        <v>2</v>
      </c>
      <c r="N303">
        <v>41790</v>
      </c>
      <c r="O303">
        <v>83580</v>
      </c>
      <c r="P303">
        <v>143469</v>
      </c>
      <c r="Q303" t="s">
        <v>994</v>
      </c>
      <c r="R303">
        <v>2026</v>
      </c>
    </row>
    <row r="304" spans="1:18" x14ac:dyDescent="0.3">
      <c r="A304" t="s">
        <v>995</v>
      </c>
      <c r="B304" t="s">
        <v>910</v>
      </c>
      <c r="C304" t="s">
        <v>996</v>
      </c>
      <c r="D304" t="s">
        <v>43</v>
      </c>
      <c r="E304" t="s">
        <v>82</v>
      </c>
      <c r="F304" t="s">
        <v>50</v>
      </c>
      <c r="G304" t="s">
        <v>35</v>
      </c>
      <c r="H304" t="s">
        <v>218</v>
      </c>
      <c r="I304" t="s">
        <v>77</v>
      </c>
      <c r="J304" t="s">
        <v>52</v>
      </c>
      <c r="K304" t="s">
        <v>28</v>
      </c>
      <c r="L304" t="s">
        <v>53</v>
      </c>
      <c r="M304">
        <v>5</v>
      </c>
      <c r="N304">
        <v>11978</v>
      </c>
      <c r="O304">
        <v>59890</v>
      </c>
      <c r="P304">
        <v>25084</v>
      </c>
      <c r="Q304" t="s">
        <v>997</v>
      </c>
      <c r="R304">
        <v>2026</v>
      </c>
    </row>
    <row r="305" spans="1:18" x14ac:dyDescent="0.3">
      <c r="A305" t="s">
        <v>998</v>
      </c>
      <c r="B305" t="s">
        <v>910</v>
      </c>
      <c r="C305" t="s">
        <v>999</v>
      </c>
      <c r="D305" t="s">
        <v>33</v>
      </c>
      <c r="E305" t="s">
        <v>82</v>
      </c>
      <c r="F305" t="s">
        <v>23</v>
      </c>
      <c r="G305" t="s">
        <v>116</v>
      </c>
      <c r="H305" t="s">
        <v>376</v>
      </c>
      <c r="I305" t="s">
        <v>26</v>
      </c>
      <c r="J305" t="s">
        <v>59</v>
      </c>
      <c r="K305" t="s">
        <v>78</v>
      </c>
      <c r="L305" t="s">
        <v>85</v>
      </c>
      <c r="M305">
        <v>3</v>
      </c>
      <c r="N305">
        <v>44618</v>
      </c>
      <c r="O305">
        <v>133854</v>
      </c>
      <c r="P305">
        <v>113883</v>
      </c>
      <c r="Q305" t="s">
        <v>1000</v>
      </c>
      <c r="R305">
        <v>2026</v>
      </c>
    </row>
    <row r="306" spans="1:18" x14ac:dyDescent="0.3">
      <c r="A306" t="s">
        <v>1001</v>
      </c>
      <c r="B306" t="s">
        <v>1002</v>
      </c>
      <c r="C306" t="s">
        <v>1003</v>
      </c>
      <c r="D306" t="s">
        <v>64</v>
      </c>
      <c r="E306" t="s">
        <v>22</v>
      </c>
      <c r="F306" t="s">
        <v>44</v>
      </c>
      <c r="G306" t="s">
        <v>116</v>
      </c>
      <c r="H306" t="s">
        <v>51</v>
      </c>
      <c r="I306" t="s">
        <v>26</v>
      </c>
      <c r="J306" t="s">
        <v>27</v>
      </c>
      <c r="K306" t="s">
        <v>78</v>
      </c>
      <c r="L306" t="s">
        <v>85</v>
      </c>
      <c r="M306">
        <v>8</v>
      </c>
      <c r="N306">
        <v>37304</v>
      </c>
      <c r="O306">
        <v>298432</v>
      </c>
      <c r="P306">
        <v>135075</v>
      </c>
      <c r="Q306" t="s">
        <v>1004</v>
      </c>
      <c r="R306">
        <v>2026</v>
      </c>
    </row>
    <row r="307" spans="1:18" x14ac:dyDescent="0.3">
      <c r="A307" t="s">
        <v>1005</v>
      </c>
      <c r="B307" t="s">
        <v>1002</v>
      </c>
      <c r="C307" t="s">
        <v>1006</v>
      </c>
      <c r="D307" t="s">
        <v>64</v>
      </c>
      <c r="E307" t="s">
        <v>22</v>
      </c>
      <c r="F307" t="s">
        <v>96</v>
      </c>
      <c r="G307" t="s">
        <v>112</v>
      </c>
      <c r="H307" t="s">
        <v>143</v>
      </c>
      <c r="I307" t="s">
        <v>77</v>
      </c>
      <c r="J307" t="s">
        <v>27</v>
      </c>
      <c r="K307" t="s">
        <v>78</v>
      </c>
      <c r="L307" t="s">
        <v>125</v>
      </c>
      <c r="M307">
        <v>10</v>
      </c>
      <c r="N307">
        <v>7803</v>
      </c>
      <c r="O307">
        <v>78030</v>
      </c>
      <c r="P307">
        <v>138913</v>
      </c>
      <c r="Q307" t="s">
        <v>1007</v>
      </c>
      <c r="R307">
        <v>2026</v>
      </c>
    </row>
    <row r="308" spans="1:18" x14ac:dyDescent="0.3">
      <c r="A308" t="s">
        <v>1008</v>
      </c>
      <c r="B308" t="s">
        <v>1002</v>
      </c>
      <c r="C308" t="s">
        <v>1009</v>
      </c>
      <c r="D308" t="s">
        <v>64</v>
      </c>
      <c r="E308" t="s">
        <v>22</v>
      </c>
      <c r="F308" t="s">
        <v>96</v>
      </c>
      <c r="G308" t="s">
        <v>35</v>
      </c>
      <c r="H308" t="s">
        <v>204</v>
      </c>
      <c r="I308" t="s">
        <v>45</v>
      </c>
      <c r="J308" t="s">
        <v>59</v>
      </c>
      <c r="K308" t="s">
        <v>71</v>
      </c>
      <c r="L308" t="s">
        <v>85</v>
      </c>
      <c r="M308">
        <v>9</v>
      </c>
      <c r="N308">
        <v>37676</v>
      </c>
      <c r="O308">
        <v>339084</v>
      </c>
      <c r="P308">
        <v>143581</v>
      </c>
      <c r="Q308" t="s">
        <v>1010</v>
      </c>
      <c r="R308">
        <v>2026</v>
      </c>
    </row>
    <row r="309" spans="1:18" x14ac:dyDescent="0.3">
      <c r="A309" t="s">
        <v>1011</v>
      </c>
      <c r="B309" t="s">
        <v>1002</v>
      </c>
      <c r="C309" t="s">
        <v>1012</v>
      </c>
      <c r="D309" t="s">
        <v>64</v>
      </c>
      <c r="E309" t="s">
        <v>44</v>
      </c>
      <c r="F309" t="s">
        <v>23</v>
      </c>
      <c r="G309" t="s">
        <v>83</v>
      </c>
      <c r="H309" t="s">
        <v>51</v>
      </c>
      <c r="I309" t="s">
        <v>37</v>
      </c>
      <c r="J309" t="s">
        <v>52</v>
      </c>
      <c r="K309" t="s">
        <v>71</v>
      </c>
      <c r="L309" t="s">
        <v>66</v>
      </c>
      <c r="M309">
        <v>2</v>
      </c>
      <c r="N309">
        <v>41380</v>
      </c>
      <c r="O309">
        <v>82760</v>
      </c>
      <c r="P309">
        <v>72350</v>
      </c>
      <c r="Q309" t="s">
        <v>1013</v>
      </c>
      <c r="R309">
        <v>2026</v>
      </c>
    </row>
    <row r="310" spans="1:18" x14ac:dyDescent="0.3">
      <c r="A310" t="s">
        <v>1014</v>
      </c>
      <c r="B310" t="s">
        <v>1002</v>
      </c>
      <c r="C310" t="s">
        <v>1015</v>
      </c>
      <c r="D310" t="s">
        <v>43</v>
      </c>
      <c r="E310" t="s">
        <v>82</v>
      </c>
      <c r="F310" t="s">
        <v>50</v>
      </c>
      <c r="G310" t="s">
        <v>89</v>
      </c>
      <c r="H310" t="s">
        <v>76</v>
      </c>
      <c r="I310" t="s">
        <v>37</v>
      </c>
      <c r="J310" t="s">
        <v>52</v>
      </c>
      <c r="K310" t="s">
        <v>71</v>
      </c>
      <c r="L310" t="s">
        <v>53</v>
      </c>
      <c r="M310">
        <v>6</v>
      </c>
      <c r="N310">
        <v>27644</v>
      </c>
      <c r="O310">
        <v>165864</v>
      </c>
      <c r="P310">
        <v>63708</v>
      </c>
      <c r="Q310" t="s">
        <v>1016</v>
      </c>
      <c r="R310">
        <v>2026</v>
      </c>
    </row>
    <row r="311" spans="1:18" x14ac:dyDescent="0.3">
      <c r="A311" t="s">
        <v>1017</v>
      </c>
      <c r="B311" t="s">
        <v>1002</v>
      </c>
      <c r="C311" t="s">
        <v>1018</v>
      </c>
      <c r="D311" t="s">
        <v>64</v>
      </c>
      <c r="E311" t="s">
        <v>82</v>
      </c>
      <c r="F311" t="s">
        <v>44</v>
      </c>
      <c r="G311" t="s">
        <v>35</v>
      </c>
      <c r="H311" t="s">
        <v>139</v>
      </c>
      <c r="I311" t="s">
        <v>77</v>
      </c>
      <c r="J311" t="s">
        <v>59</v>
      </c>
      <c r="K311" t="s">
        <v>78</v>
      </c>
      <c r="L311" t="s">
        <v>60</v>
      </c>
      <c r="M311">
        <v>3</v>
      </c>
      <c r="N311">
        <v>19072</v>
      </c>
      <c r="O311">
        <v>57216</v>
      </c>
      <c r="P311">
        <v>18393</v>
      </c>
      <c r="Q311" t="s">
        <v>1019</v>
      </c>
      <c r="R311">
        <v>2026</v>
      </c>
    </row>
    <row r="312" spans="1:18" x14ac:dyDescent="0.3">
      <c r="A312" t="s">
        <v>1020</v>
      </c>
      <c r="B312" t="s">
        <v>1002</v>
      </c>
      <c r="C312" t="s">
        <v>1021</v>
      </c>
      <c r="D312" t="s">
        <v>43</v>
      </c>
      <c r="E312" t="s">
        <v>49</v>
      </c>
      <c r="F312" t="s">
        <v>50</v>
      </c>
      <c r="G312" t="s">
        <v>97</v>
      </c>
      <c r="H312" t="s">
        <v>177</v>
      </c>
      <c r="I312" t="s">
        <v>37</v>
      </c>
      <c r="J312" t="s">
        <v>52</v>
      </c>
      <c r="K312" t="s">
        <v>71</v>
      </c>
      <c r="L312" t="s">
        <v>29</v>
      </c>
      <c r="M312">
        <v>8</v>
      </c>
      <c r="N312">
        <v>24503</v>
      </c>
      <c r="O312">
        <v>196024</v>
      </c>
      <c r="P312">
        <v>26053</v>
      </c>
      <c r="Q312" t="s">
        <v>1022</v>
      </c>
      <c r="R312">
        <v>2026</v>
      </c>
    </row>
    <row r="313" spans="1:18" x14ac:dyDescent="0.3">
      <c r="A313" t="s">
        <v>1023</v>
      </c>
      <c r="B313" t="s">
        <v>1002</v>
      </c>
      <c r="C313" t="s">
        <v>1024</v>
      </c>
      <c r="D313" t="s">
        <v>21</v>
      </c>
      <c r="E313" t="s">
        <v>44</v>
      </c>
      <c r="F313" t="s">
        <v>75</v>
      </c>
      <c r="G313" t="s">
        <v>97</v>
      </c>
      <c r="H313" t="s">
        <v>302</v>
      </c>
      <c r="I313" t="s">
        <v>37</v>
      </c>
      <c r="J313" t="s">
        <v>27</v>
      </c>
      <c r="K313" t="s">
        <v>71</v>
      </c>
      <c r="L313" t="s">
        <v>117</v>
      </c>
      <c r="M313">
        <v>1</v>
      </c>
      <c r="N313">
        <v>26693</v>
      </c>
      <c r="O313">
        <v>26693</v>
      </c>
      <c r="P313">
        <v>62566</v>
      </c>
      <c r="Q313" t="s">
        <v>1025</v>
      </c>
      <c r="R313">
        <v>2026</v>
      </c>
    </row>
    <row r="314" spans="1:18" x14ac:dyDescent="0.3">
      <c r="A314" t="s">
        <v>1026</v>
      </c>
      <c r="B314" t="s">
        <v>1002</v>
      </c>
      <c r="C314" t="s">
        <v>1027</v>
      </c>
      <c r="D314" t="s">
        <v>21</v>
      </c>
      <c r="E314" t="s">
        <v>111</v>
      </c>
      <c r="F314" t="s">
        <v>23</v>
      </c>
      <c r="G314" t="s">
        <v>102</v>
      </c>
      <c r="H314" t="s">
        <v>25</v>
      </c>
      <c r="I314" t="s">
        <v>77</v>
      </c>
      <c r="J314" t="s">
        <v>52</v>
      </c>
      <c r="K314" t="s">
        <v>78</v>
      </c>
      <c r="L314" t="s">
        <v>125</v>
      </c>
      <c r="M314">
        <v>1</v>
      </c>
      <c r="N314">
        <v>48852</v>
      </c>
      <c r="O314">
        <v>48852</v>
      </c>
      <c r="P314">
        <v>117622</v>
      </c>
      <c r="Q314" t="s">
        <v>1028</v>
      </c>
      <c r="R314">
        <v>2026</v>
      </c>
    </row>
    <row r="315" spans="1:18" x14ac:dyDescent="0.3">
      <c r="A315" t="s">
        <v>1029</v>
      </c>
      <c r="B315" t="s">
        <v>1002</v>
      </c>
      <c r="C315" t="s">
        <v>1030</v>
      </c>
      <c r="D315" t="s">
        <v>33</v>
      </c>
      <c r="E315" t="s">
        <v>82</v>
      </c>
      <c r="F315" t="s">
        <v>96</v>
      </c>
      <c r="G315" t="s">
        <v>97</v>
      </c>
      <c r="H315" t="s">
        <v>147</v>
      </c>
      <c r="I315" t="s">
        <v>45</v>
      </c>
      <c r="J315" t="s">
        <v>52</v>
      </c>
      <c r="K315" t="s">
        <v>38</v>
      </c>
      <c r="L315" t="s">
        <v>29</v>
      </c>
      <c r="M315">
        <v>2</v>
      </c>
      <c r="N315">
        <v>43380</v>
      </c>
      <c r="O315">
        <v>86760</v>
      </c>
      <c r="P315">
        <v>49480</v>
      </c>
      <c r="Q315" t="s">
        <v>1031</v>
      </c>
      <c r="R315">
        <v>2026</v>
      </c>
    </row>
    <row r="316" spans="1:18" x14ac:dyDescent="0.3">
      <c r="A316" t="s">
        <v>1032</v>
      </c>
      <c r="B316" t="s">
        <v>1002</v>
      </c>
      <c r="C316" t="s">
        <v>1033</v>
      </c>
      <c r="D316" t="s">
        <v>21</v>
      </c>
      <c r="E316" t="s">
        <v>111</v>
      </c>
      <c r="F316" t="s">
        <v>34</v>
      </c>
      <c r="G316" t="s">
        <v>35</v>
      </c>
      <c r="H316" t="s">
        <v>98</v>
      </c>
      <c r="I316" t="s">
        <v>26</v>
      </c>
      <c r="J316" t="s">
        <v>59</v>
      </c>
      <c r="K316" t="s">
        <v>28</v>
      </c>
      <c r="L316" t="s">
        <v>39</v>
      </c>
      <c r="M316">
        <v>3</v>
      </c>
      <c r="N316">
        <v>34122</v>
      </c>
      <c r="O316">
        <v>102366</v>
      </c>
      <c r="P316">
        <v>97435</v>
      </c>
      <c r="Q316" t="s">
        <v>1034</v>
      </c>
      <c r="R316">
        <v>2026</v>
      </c>
    </row>
    <row r="317" spans="1:18" x14ac:dyDescent="0.3">
      <c r="A317" t="s">
        <v>1035</v>
      </c>
      <c r="B317" t="s">
        <v>1002</v>
      </c>
      <c r="C317" t="s">
        <v>1036</v>
      </c>
      <c r="D317" t="s">
        <v>64</v>
      </c>
      <c r="E317" t="s">
        <v>57</v>
      </c>
      <c r="F317" t="s">
        <v>50</v>
      </c>
      <c r="G317" t="s">
        <v>35</v>
      </c>
      <c r="H317" t="s">
        <v>98</v>
      </c>
      <c r="I317" t="s">
        <v>26</v>
      </c>
      <c r="J317" t="s">
        <v>59</v>
      </c>
      <c r="K317" t="s">
        <v>71</v>
      </c>
      <c r="L317" t="s">
        <v>60</v>
      </c>
      <c r="M317">
        <v>2</v>
      </c>
      <c r="N317">
        <v>31121</v>
      </c>
      <c r="O317">
        <v>62242</v>
      </c>
      <c r="P317">
        <v>82144</v>
      </c>
      <c r="Q317" t="s">
        <v>1037</v>
      </c>
      <c r="R317">
        <v>2026</v>
      </c>
    </row>
    <row r="318" spans="1:18" x14ac:dyDescent="0.3">
      <c r="A318" t="s">
        <v>1038</v>
      </c>
      <c r="B318" t="s">
        <v>1002</v>
      </c>
      <c r="C318" t="s">
        <v>1039</v>
      </c>
      <c r="D318" t="s">
        <v>43</v>
      </c>
      <c r="E318" t="s">
        <v>22</v>
      </c>
      <c r="F318" t="s">
        <v>75</v>
      </c>
      <c r="G318" t="s">
        <v>83</v>
      </c>
      <c r="H318" t="s">
        <v>58</v>
      </c>
      <c r="I318" t="s">
        <v>37</v>
      </c>
      <c r="J318" t="s">
        <v>59</v>
      </c>
      <c r="K318" t="s">
        <v>78</v>
      </c>
      <c r="L318" t="s">
        <v>66</v>
      </c>
      <c r="M318">
        <v>4</v>
      </c>
      <c r="N318">
        <v>20585</v>
      </c>
      <c r="O318">
        <v>82340</v>
      </c>
      <c r="P318">
        <v>92817</v>
      </c>
      <c r="Q318" t="s">
        <v>1040</v>
      </c>
      <c r="R318">
        <v>2026</v>
      </c>
    </row>
    <row r="319" spans="1:18" x14ac:dyDescent="0.3">
      <c r="A319" t="s">
        <v>1041</v>
      </c>
      <c r="B319" t="s">
        <v>1002</v>
      </c>
      <c r="C319" t="s">
        <v>1042</v>
      </c>
      <c r="D319" t="s">
        <v>33</v>
      </c>
      <c r="E319" t="s">
        <v>44</v>
      </c>
      <c r="F319" t="s">
        <v>75</v>
      </c>
      <c r="G319" t="s">
        <v>35</v>
      </c>
      <c r="H319" t="s">
        <v>36</v>
      </c>
      <c r="I319" t="s">
        <v>37</v>
      </c>
      <c r="J319" t="s">
        <v>59</v>
      </c>
      <c r="K319" t="s">
        <v>78</v>
      </c>
      <c r="L319" t="s">
        <v>125</v>
      </c>
      <c r="M319">
        <v>1</v>
      </c>
      <c r="N319">
        <v>30028</v>
      </c>
      <c r="O319">
        <v>30028</v>
      </c>
      <c r="P319">
        <v>57353</v>
      </c>
      <c r="Q319" t="s">
        <v>1043</v>
      </c>
      <c r="R319">
        <v>2026</v>
      </c>
    </row>
    <row r="320" spans="1:18" x14ac:dyDescent="0.3">
      <c r="A320" t="s">
        <v>1044</v>
      </c>
      <c r="B320" t="s">
        <v>1002</v>
      </c>
      <c r="C320" t="s">
        <v>1045</v>
      </c>
      <c r="D320" t="s">
        <v>33</v>
      </c>
      <c r="E320" t="s">
        <v>57</v>
      </c>
      <c r="F320" t="s">
        <v>50</v>
      </c>
      <c r="G320" t="s">
        <v>83</v>
      </c>
      <c r="H320" t="s">
        <v>298</v>
      </c>
      <c r="I320" t="s">
        <v>26</v>
      </c>
      <c r="J320" t="s">
        <v>52</v>
      </c>
      <c r="K320" t="s">
        <v>28</v>
      </c>
      <c r="L320" t="s">
        <v>39</v>
      </c>
      <c r="M320">
        <v>9</v>
      </c>
      <c r="N320">
        <v>25080</v>
      </c>
      <c r="O320">
        <v>225720</v>
      </c>
      <c r="P320">
        <v>66698</v>
      </c>
      <c r="Q320" t="s">
        <v>1046</v>
      </c>
      <c r="R320">
        <v>2026</v>
      </c>
    </row>
    <row r="321" spans="1:18" x14ac:dyDescent="0.3">
      <c r="A321" t="s">
        <v>1047</v>
      </c>
      <c r="B321" t="s">
        <v>1002</v>
      </c>
      <c r="C321" t="s">
        <v>1048</v>
      </c>
      <c r="D321" t="s">
        <v>33</v>
      </c>
      <c r="E321" t="s">
        <v>22</v>
      </c>
      <c r="F321" t="s">
        <v>50</v>
      </c>
      <c r="G321" t="s">
        <v>24</v>
      </c>
      <c r="H321" t="s">
        <v>228</v>
      </c>
      <c r="I321" t="s">
        <v>37</v>
      </c>
      <c r="J321" t="s">
        <v>27</v>
      </c>
      <c r="K321" t="s">
        <v>78</v>
      </c>
      <c r="L321" t="s">
        <v>60</v>
      </c>
      <c r="M321">
        <v>5</v>
      </c>
      <c r="N321">
        <v>33379</v>
      </c>
      <c r="O321">
        <v>166895</v>
      </c>
      <c r="P321">
        <v>74681</v>
      </c>
      <c r="Q321" t="s">
        <v>1049</v>
      </c>
      <c r="R321">
        <v>2026</v>
      </c>
    </row>
    <row r="322" spans="1:18" x14ac:dyDescent="0.3">
      <c r="A322" t="s">
        <v>1050</v>
      </c>
      <c r="B322" t="s">
        <v>1002</v>
      </c>
      <c r="C322" t="s">
        <v>1051</v>
      </c>
      <c r="D322" t="s">
        <v>21</v>
      </c>
      <c r="E322" t="s">
        <v>22</v>
      </c>
      <c r="F322" t="s">
        <v>23</v>
      </c>
      <c r="G322" t="s">
        <v>89</v>
      </c>
      <c r="H322" t="s">
        <v>51</v>
      </c>
      <c r="I322" t="s">
        <v>45</v>
      </c>
      <c r="J322" t="s">
        <v>27</v>
      </c>
      <c r="K322" t="s">
        <v>78</v>
      </c>
      <c r="L322" t="s">
        <v>66</v>
      </c>
      <c r="M322">
        <v>6</v>
      </c>
      <c r="N322">
        <v>9924</v>
      </c>
      <c r="O322">
        <v>59544</v>
      </c>
      <c r="P322">
        <v>107992</v>
      </c>
      <c r="Q322" t="s">
        <v>181</v>
      </c>
      <c r="R322">
        <v>2026</v>
      </c>
    </row>
    <row r="323" spans="1:18" x14ac:dyDescent="0.3">
      <c r="A323" t="s">
        <v>1052</v>
      </c>
      <c r="B323" t="s">
        <v>1002</v>
      </c>
      <c r="C323" t="s">
        <v>1053</v>
      </c>
      <c r="D323" t="s">
        <v>33</v>
      </c>
      <c r="E323" t="s">
        <v>22</v>
      </c>
      <c r="F323" t="s">
        <v>50</v>
      </c>
      <c r="G323" t="s">
        <v>102</v>
      </c>
      <c r="H323" t="s">
        <v>70</v>
      </c>
      <c r="I323" t="s">
        <v>37</v>
      </c>
      <c r="J323" t="s">
        <v>27</v>
      </c>
      <c r="K323" t="s">
        <v>28</v>
      </c>
      <c r="L323" t="s">
        <v>85</v>
      </c>
      <c r="M323">
        <v>6</v>
      </c>
      <c r="N323">
        <v>1970</v>
      </c>
      <c r="O323">
        <v>11820</v>
      </c>
      <c r="P323">
        <v>52921</v>
      </c>
      <c r="Q323" t="s">
        <v>1054</v>
      </c>
      <c r="R323">
        <v>2026</v>
      </c>
    </row>
    <row r="324" spans="1:18" x14ac:dyDescent="0.3">
      <c r="A324" t="s">
        <v>1055</v>
      </c>
      <c r="B324" t="s">
        <v>1002</v>
      </c>
      <c r="C324" t="s">
        <v>1056</v>
      </c>
      <c r="D324" t="s">
        <v>43</v>
      </c>
      <c r="E324" t="s">
        <v>111</v>
      </c>
      <c r="F324" t="s">
        <v>96</v>
      </c>
      <c r="G324" t="s">
        <v>97</v>
      </c>
      <c r="H324" t="s">
        <v>129</v>
      </c>
      <c r="I324" t="s">
        <v>26</v>
      </c>
      <c r="J324" t="s">
        <v>59</v>
      </c>
      <c r="K324" t="s">
        <v>28</v>
      </c>
      <c r="L324" t="s">
        <v>117</v>
      </c>
      <c r="M324">
        <v>5</v>
      </c>
      <c r="N324">
        <v>23716</v>
      </c>
      <c r="O324">
        <v>118580</v>
      </c>
      <c r="P324">
        <v>137480</v>
      </c>
      <c r="Q324" t="s">
        <v>1057</v>
      </c>
      <c r="R324">
        <v>2026</v>
      </c>
    </row>
    <row r="325" spans="1:18" x14ac:dyDescent="0.3">
      <c r="A325" t="s">
        <v>1058</v>
      </c>
      <c r="B325" t="s">
        <v>1002</v>
      </c>
      <c r="C325" t="s">
        <v>1059</v>
      </c>
      <c r="D325" t="s">
        <v>43</v>
      </c>
      <c r="E325" t="s">
        <v>82</v>
      </c>
      <c r="F325" t="s">
        <v>50</v>
      </c>
      <c r="G325" t="s">
        <v>83</v>
      </c>
      <c r="H325" t="s">
        <v>98</v>
      </c>
      <c r="I325" t="s">
        <v>45</v>
      </c>
      <c r="J325" t="s">
        <v>59</v>
      </c>
      <c r="K325" t="s">
        <v>71</v>
      </c>
      <c r="L325" t="s">
        <v>53</v>
      </c>
      <c r="M325">
        <v>8</v>
      </c>
      <c r="N325">
        <v>14581</v>
      </c>
      <c r="O325">
        <v>116648</v>
      </c>
      <c r="P325">
        <v>119359</v>
      </c>
      <c r="Q325" t="s">
        <v>1060</v>
      </c>
      <c r="R325">
        <v>2026</v>
      </c>
    </row>
    <row r="326" spans="1:18" x14ac:dyDescent="0.3">
      <c r="A326" t="s">
        <v>1061</v>
      </c>
      <c r="B326" t="s">
        <v>1002</v>
      </c>
      <c r="C326" t="s">
        <v>1062</v>
      </c>
      <c r="D326" t="s">
        <v>64</v>
      </c>
      <c r="E326" t="s">
        <v>111</v>
      </c>
      <c r="F326" t="s">
        <v>44</v>
      </c>
      <c r="G326" t="s">
        <v>102</v>
      </c>
      <c r="H326" t="s">
        <v>139</v>
      </c>
      <c r="I326" t="s">
        <v>37</v>
      </c>
      <c r="J326" t="s">
        <v>52</v>
      </c>
      <c r="K326" t="s">
        <v>78</v>
      </c>
      <c r="L326" t="s">
        <v>117</v>
      </c>
      <c r="M326">
        <v>1</v>
      </c>
      <c r="N326">
        <v>29897</v>
      </c>
      <c r="O326">
        <v>29897</v>
      </c>
      <c r="P326">
        <v>130699</v>
      </c>
      <c r="Q326" t="s">
        <v>581</v>
      </c>
      <c r="R326">
        <v>2026</v>
      </c>
    </row>
    <row r="327" spans="1:18" x14ac:dyDescent="0.3">
      <c r="A327" t="s">
        <v>1063</v>
      </c>
      <c r="B327" t="s">
        <v>1002</v>
      </c>
      <c r="C327" t="s">
        <v>1064</v>
      </c>
      <c r="D327" t="s">
        <v>33</v>
      </c>
      <c r="E327" t="s">
        <v>82</v>
      </c>
      <c r="F327" t="s">
        <v>75</v>
      </c>
      <c r="G327" t="s">
        <v>116</v>
      </c>
      <c r="H327" t="s">
        <v>302</v>
      </c>
      <c r="I327" t="s">
        <v>26</v>
      </c>
      <c r="J327" t="s">
        <v>59</v>
      </c>
      <c r="K327" t="s">
        <v>78</v>
      </c>
      <c r="L327" t="s">
        <v>53</v>
      </c>
      <c r="M327">
        <v>2</v>
      </c>
      <c r="N327">
        <v>48954</v>
      </c>
      <c r="O327">
        <v>97908</v>
      </c>
      <c r="P327">
        <v>107852</v>
      </c>
      <c r="Q327" t="s">
        <v>1065</v>
      </c>
      <c r="R327">
        <v>2026</v>
      </c>
    </row>
    <row r="328" spans="1:18" x14ac:dyDescent="0.3">
      <c r="A328" t="s">
        <v>1066</v>
      </c>
      <c r="B328" t="s">
        <v>1002</v>
      </c>
      <c r="C328" t="s">
        <v>1067</v>
      </c>
      <c r="D328" t="s">
        <v>64</v>
      </c>
      <c r="E328" t="s">
        <v>22</v>
      </c>
      <c r="F328" t="s">
        <v>96</v>
      </c>
      <c r="G328" t="s">
        <v>89</v>
      </c>
      <c r="H328" t="s">
        <v>376</v>
      </c>
      <c r="I328" t="s">
        <v>26</v>
      </c>
      <c r="J328" t="s">
        <v>59</v>
      </c>
      <c r="K328" t="s">
        <v>71</v>
      </c>
      <c r="L328" t="s">
        <v>60</v>
      </c>
      <c r="M328">
        <v>5</v>
      </c>
      <c r="N328">
        <v>35778</v>
      </c>
      <c r="O328">
        <v>178890</v>
      </c>
      <c r="P328">
        <v>83298</v>
      </c>
      <c r="Q328" t="s">
        <v>1068</v>
      </c>
      <c r="R328">
        <v>2026</v>
      </c>
    </row>
    <row r="329" spans="1:18" x14ac:dyDescent="0.3">
      <c r="A329" t="s">
        <v>1069</v>
      </c>
      <c r="B329" t="s">
        <v>1002</v>
      </c>
      <c r="C329" t="s">
        <v>1070</v>
      </c>
      <c r="D329" t="s">
        <v>33</v>
      </c>
      <c r="E329" t="s">
        <v>44</v>
      </c>
      <c r="F329" t="s">
        <v>75</v>
      </c>
      <c r="G329" t="s">
        <v>24</v>
      </c>
      <c r="H329" t="s">
        <v>232</v>
      </c>
      <c r="I329" t="s">
        <v>77</v>
      </c>
      <c r="J329" t="s">
        <v>52</v>
      </c>
      <c r="K329" t="s">
        <v>78</v>
      </c>
      <c r="L329" t="s">
        <v>29</v>
      </c>
      <c r="M329">
        <v>2</v>
      </c>
      <c r="N329">
        <v>13191</v>
      </c>
      <c r="O329">
        <v>26382</v>
      </c>
      <c r="P329">
        <v>61212</v>
      </c>
      <c r="Q329" t="s">
        <v>1071</v>
      </c>
      <c r="R329">
        <v>2026</v>
      </c>
    </row>
    <row r="330" spans="1:18" x14ac:dyDescent="0.3">
      <c r="A330" t="s">
        <v>1072</v>
      </c>
      <c r="B330" t="s">
        <v>1002</v>
      </c>
      <c r="C330" t="s">
        <v>1073</v>
      </c>
      <c r="D330" t="s">
        <v>43</v>
      </c>
      <c r="E330" t="s">
        <v>57</v>
      </c>
      <c r="F330" t="s">
        <v>44</v>
      </c>
      <c r="G330" t="s">
        <v>116</v>
      </c>
      <c r="H330" t="s">
        <v>36</v>
      </c>
      <c r="I330" t="s">
        <v>26</v>
      </c>
      <c r="J330" t="s">
        <v>52</v>
      </c>
      <c r="K330" t="s">
        <v>71</v>
      </c>
      <c r="L330" t="s">
        <v>66</v>
      </c>
      <c r="M330">
        <v>8</v>
      </c>
      <c r="N330">
        <v>14366</v>
      </c>
      <c r="O330">
        <v>114928</v>
      </c>
      <c r="P330">
        <v>52676</v>
      </c>
      <c r="Q330" t="s">
        <v>1074</v>
      </c>
      <c r="R330">
        <v>2026</v>
      </c>
    </row>
    <row r="331" spans="1:18" x14ac:dyDescent="0.3">
      <c r="A331" t="s">
        <v>1075</v>
      </c>
      <c r="B331" t="s">
        <v>1002</v>
      </c>
      <c r="C331" t="s">
        <v>1076</v>
      </c>
      <c r="D331" t="s">
        <v>43</v>
      </c>
      <c r="E331" t="s">
        <v>22</v>
      </c>
      <c r="F331" t="s">
        <v>44</v>
      </c>
      <c r="G331" t="s">
        <v>97</v>
      </c>
      <c r="H331" t="s">
        <v>36</v>
      </c>
      <c r="I331" t="s">
        <v>77</v>
      </c>
      <c r="J331" t="s">
        <v>52</v>
      </c>
      <c r="K331" t="s">
        <v>38</v>
      </c>
      <c r="L331" t="s">
        <v>125</v>
      </c>
      <c r="M331">
        <v>3</v>
      </c>
      <c r="N331">
        <v>43402</v>
      </c>
      <c r="O331">
        <v>130206</v>
      </c>
      <c r="P331">
        <v>110180</v>
      </c>
      <c r="Q331" t="s">
        <v>1077</v>
      </c>
      <c r="R331">
        <v>2026</v>
      </c>
    </row>
    <row r="332" spans="1:18" x14ac:dyDescent="0.3">
      <c r="A332" t="s">
        <v>1078</v>
      </c>
      <c r="B332" t="s">
        <v>1002</v>
      </c>
      <c r="C332" t="s">
        <v>1079</v>
      </c>
      <c r="D332" t="s">
        <v>43</v>
      </c>
      <c r="E332" t="s">
        <v>22</v>
      </c>
      <c r="F332" t="s">
        <v>34</v>
      </c>
      <c r="G332" t="s">
        <v>83</v>
      </c>
      <c r="H332" t="s">
        <v>107</v>
      </c>
      <c r="I332" t="s">
        <v>26</v>
      </c>
      <c r="J332" t="s">
        <v>52</v>
      </c>
      <c r="K332" t="s">
        <v>78</v>
      </c>
      <c r="L332" t="s">
        <v>66</v>
      </c>
      <c r="M332">
        <v>7</v>
      </c>
      <c r="N332">
        <v>7073</v>
      </c>
      <c r="O332">
        <v>49511</v>
      </c>
      <c r="P332">
        <v>134600</v>
      </c>
      <c r="Q332" t="s">
        <v>1080</v>
      </c>
      <c r="R332">
        <v>2026</v>
      </c>
    </row>
    <row r="333" spans="1:18" x14ac:dyDescent="0.3">
      <c r="A333" t="s">
        <v>1081</v>
      </c>
      <c r="B333" t="s">
        <v>1002</v>
      </c>
      <c r="C333" t="s">
        <v>1082</v>
      </c>
      <c r="D333" t="s">
        <v>43</v>
      </c>
      <c r="E333" t="s">
        <v>49</v>
      </c>
      <c r="F333" t="s">
        <v>44</v>
      </c>
      <c r="G333" t="s">
        <v>102</v>
      </c>
      <c r="H333" t="s">
        <v>103</v>
      </c>
      <c r="I333" t="s">
        <v>77</v>
      </c>
      <c r="J333" t="s">
        <v>52</v>
      </c>
      <c r="K333" t="s">
        <v>38</v>
      </c>
      <c r="L333" t="s">
        <v>85</v>
      </c>
      <c r="M333">
        <v>3</v>
      </c>
      <c r="N333">
        <v>1578</v>
      </c>
      <c r="O333">
        <v>4734</v>
      </c>
      <c r="P333">
        <v>127887</v>
      </c>
      <c r="Q333" t="s">
        <v>1083</v>
      </c>
      <c r="R333">
        <v>2026</v>
      </c>
    </row>
    <row r="334" spans="1:18" x14ac:dyDescent="0.3">
      <c r="A334" t="s">
        <v>1084</v>
      </c>
      <c r="B334" t="s">
        <v>1002</v>
      </c>
      <c r="C334" t="s">
        <v>1085</v>
      </c>
      <c r="D334" t="s">
        <v>33</v>
      </c>
      <c r="E334" t="s">
        <v>44</v>
      </c>
      <c r="F334" t="s">
        <v>23</v>
      </c>
      <c r="G334" t="s">
        <v>24</v>
      </c>
      <c r="H334" t="s">
        <v>84</v>
      </c>
      <c r="I334" t="s">
        <v>37</v>
      </c>
      <c r="J334" t="s">
        <v>27</v>
      </c>
      <c r="K334" t="s">
        <v>28</v>
      </c>
      <c r="L334" t="s">
        <v>85</v>
      </c>
      <c r="M334">
        <v>7</v>
      </c>
      <c r="N334">
        <v>47525</v>
      </c>
      <c r="O334">
        <v>332675</v>
      </c>
      <c r="P334">
        <v>85979</v>
      </c>
      <c r="Q334" t="s">
        <v>1086</v>
      </c>
      <c r="R334">
        <v>2026</v>
      </c>
    </row>
    <row r="335" spans="1:18" x14ac:dyDescent="0.3">
      <c r="A335" t="s">
        <v>1087</v>
      </c>
      <c r="B335" t="s">
        <v>1002</v>
      </c>
      <c r="C335" t="s">
        <v>1088</v>
      </c>
      <c r="D335" t="s">
        <v>64</v>
      </c>
      <c r="E335" t="s">
        <v>111</v>
      </c>
      <c r="F335" t="s">
        <v>23</v>
      </c>
      <c r="G335" t="s">
        <v>89</v>
      </c>
      <c r="H335" t="s">
        <v>204</v>
      </c>
      <c r="I335" t="s">
        <v>37</v>
      </c>
      <c r="J335" t="s">
        <v>59</v>
      </c>
      <c r="K335" t="s">
        <v>28</v>
      </c>
      <c r="L335" t="s">
        <v>117</v>
      </c>
      <c r="M335">
        <v>6</v>
      </c>
      <c r="N335">
        <v>23452</v>
      </c>
      <c r="O335">
        <v>140712</v>
      </c>
      <c r="P335">
        <v>72216</v>
      </c>
      <c r="Q335" t="s">
        <v>1089</v>
      </c>
      <c r="R335">
        <v>2026</v>
      </c>
    </row>
    <row r="336" spans="1:18" x14ac:dyDescent="0.3">
      <c r="A336" t="s">
        <v>1090</v>
      </c>
      <c r="B336" t="s">
        <v>1091</v>
      </c>
      <c r="C336" t="s">
        <v>1092</v>
      </c>
      <c r="D336" t="s">
        <v>21</v>
      </c>
      <c r="E336" t="s">
        <v>111</v>
      </c>
      <c r="F336" t="s">
        <v>50</v>
      </c>
      <c r="G336" t="s">
        <v>24</v>
      </c>
      <c r="H336" t="s">
        <v>139</v>
      </c>
      <c r="I336" t="s">
        <v>37</v>
      </c>
      <c r="J336" t="s">
        <v>52</v>
      </c>
      <c r="K336" t="s">
        <v>78</v>
      </c>
      <c r="L336" t="s">
        <v>66</v>
      </c>
      <c r="M336">
        <v>8</v>
      </c>
      <c r="N336">
        <v>41337</v>
      </c>
      <c r="O336">
        <v>330696</v>
      </c>
      <c r="P336">
        <v>47157</v>
      </c>
      <c r="Q336" t="s">
        <v>1093</v>
      </c>
      <c r="R336">
        <v>2026</v>
      </c>
    </row>
    <row r="337" spans="1:18" x14ac:dyDescent="0.3">
      <c r="A337" t="s">
        <v>1094</v>
      </c>
      <c r="B337" t="s">
        <v>1091</v>
      </c>
      <c r="C337" t="s">
        <v>1095</v>
      </c>
      <c r="D337" t="s">
        <v>64</v>
      </c>
      <c r="E337" t="s">
        <v>44</v>
      </c>
      <c r="F337" t="s">
        <v>23</v>
      </c>
      <c r="G337" t="s">
        <v>24</v>
      </c>
      <c r="H337" t="s">
        <v>204</v>
      </c>
      <c r="I337" t="s">
        <v>37</v>
      </c>
      <c r="J337" t="s">
        <v>52</v>
      </c>
      <c r="K337" t="s">
        <v>28</v>
      </c>
      <c r="L337" t="s">
        <v>29</v>
      </c>
      <c r="M337">
        <v>2</v>
      </c>
      <c r="N337">
        <v>41056</v>
      </c>
      <c r="O337">
        <v>82112</v>
      </c>
      <c r="P337">
        <v>141240</v>
      </c>
      <c r="Q337" t="s">
        <v>1096</v>
      </c>
      <c r="R337">
        <v>2026</v>
      </c>
    </row>
    <row r="338" spans="1:18" x14ac:dyDescent="0.3">
      <c r="A338" t="s">
        <v>1097</v>
      </c>
      <c r="B338" t="s">
        <v>1091</v>
      </c>
      <c r="C338" t="s">
        <v>1098</v>
      </c>
      <c r="D338" t="s">
        <v>21</v>
      </c>
      <c r="E338" t="s">
        <v>82</v>
      </c>
      <c r="F338" t="s">
        <v>75</v>
      </c>
      <c r="G338" t="s">
        <v>83</v>
      </c>
      <c r="H338" t="s">
        <v>121</v>
      </c>
      <c r="I338" t="s">
        <v>26</v>
      </c>
      <c r="J338" t="s">
        <v>52</v>
      </c>
      <c r="K338" t="s">
        <v>28</v>
      </c>
      <c r="L338" t="s">
        <v>66</v>
      </c>
      <c r="M338">
        <v>8</v>
      </c>
      <c r="N338">
        <v>17290</v>
      </c>
      <c r="O338">
        <v>138320</v>
      </c>
      <c r="P338">
        <v>46852</v>
      </c>
      <c r="Q338" t="s">
        <v>1099</v>
      </c>
      <c r="R338">
        <v>2026</v>
      </c>
    </row>
    <row r="339" spans="1:18" x14ac:dyDescent="0.3">
      <c r="A339" t="s">
        <v>1100</v>
      </c>
      <c r="B339" t="s">
        <v>1091</v>
      </c>
      <c r="C339" t="s">
        <v>1101</v>
      </c>
      <c r="D339" t="s">
        <v>21</v>
      </c>
      <c r="E339" t="s">
        <v>49</v>
      </c>
      <c r="F339" t="s">
        <v>50</v>
      </c>
      <c r="G339" t="s">
        <v>102</v>
      </c>
      <c r="H339" t="s">
        <v>232</v>
      </c>
      <c r="I339" t="s">
        <v>77</v>
      </c>
      <c r="J339" t="s">
        <v>59</v>
      </c>
      <c r="K339" t="s">
        <v>71</v>
      </c>
      <c r="L339" t="s">
        <v>29</v>
      </c>
      <c r="M339">
        <v>7</v>
      </c>
      <c r="N339">
        <v>16615</v>
      </c>
      <c r="O339">
        <v>116305</v>
      </c>
      <c r="P339">
        <v>11598</v>
      </c>
      <c r="Q339" t="s">
        <v>1102</v>
      </c>
      <c r="R339">
        <v>2026</v>
      </c>
    </row>
    <row r="340" spans="1:18" x14ac:dyDescent="0.3">
      <c r="A340" t="s">
        <v>1103</v>
      </c>
      <c r="B340" t="s">
        <v>1091</v>
      </c>
      <c r="C340" t="s">
        <v>1104</v>
      </c>
      <c r="D340" t="s">
        <v>43</v>
      </c>
      <c r="E340" t="s">
        <v>44</v>
      </c>
      <c r="F340" t="s">
        <v>34</v>
      </c>
      <c r="G340" t="s">
        <v>83</v>
      </c>
      <c r="H340" t="s">
        <v>232</v>
      </c>
      <c r="I340" t="s">
        <v>77</v>
      </c>
      <c r="J340" t="s">
        <v>59</v>
      </c>
      <c r="K340" t="s">
        <v>28</v>
      </c>
      <c r="L340" t="s">
        <v>117</v>
      </c>
      <c r="M340">
        <v>8</v>
      </c>
      <c r="N340">
        <v>17769</v>
      </c>
      <c r="O340">
        <v>142152</v>
      </c>
      <c r="P340">
        <v>21638</v>
      </c>
      <c r="Q340" t="s">
        <v>1105</v>
      </c>
      <c r="R340">
        <v>2026</v>
      </c>
    </row>
    <row r="341" spans="1:18" x14ac:dyDescent="0.3">
      <c r="A341" t="s">
        <v>1106</v>
      </c>
      <c r="B341" t="s">
        <v>1091</v>
      </c>
      <c r="C341" t="s">
        <v>1107</v>
      </c>
      <c r="D341" t="s">
        <v>33</v>
      </c>
      <c r="E341" t="s">
        <v>49</v>
      </c>
      <c r="F341" t="s">
        <v>75</v>
      </c>
      <c r="G341" t="s">
        <v>83</v>
      </c>
      <c r="H341" t="s">
        <v>121</v>
      </c>
      <c r="I341" t="s">
        <v>26</v>
      </c>
      <c r="J341" t="s">
        <v>52</v>
      </c>
      <c r="K341" t="s">
        <v>71</v>
      </c>
      <c r="L341" t="s">
        <v>85</v>
      </c>
      <c r="M341">
        <v>10</v>
      </c>
      <c r="N341">
        <v>17223</v>
      </c>
      <c r="O341">
        <v>172230</v>
      </c>
      <c r="P341">
        <v>62746</v>
      </c>
      <c r="Q341" t="s">
        <v>1108</v>
      </c>
      <c r="R341">
        <v>2026</v>
      </c>
    </row>
    <row r="342" spans="1:18" x14ac:dyDescent="0.3">
      <c r="A342" t="s">
        <v>1109</v>
      </c>
      <c r="B342" t="s">
        <v>1091</v>
      </c>
      <c r="C342" t="s">
        <v>1110</v>
      </c>
      <c r="D342" t="s">
        <v>21</v>
      </c>
      <c r="E342" t="s">
        <v>111</v>
      </c>
      <c r="F342" t="s">
        <v>75</v>
      </c>
      <c r="G342" t="s">
        <v>83</v>
      </c>
      <c r="H342" t="s">
        <v>143</v>
      </c>
      <c r="I342" t="s">
        <v>26</v>
      </c>
      <c r="J342" t="s">
        <v>52</v>
      </c>
      <c r="K342" t="s">
        <v>71</v>
      </c>
      <c r="L342" t="s">
        <v>60</v>
      </c>
      <c r="M342">
        <v>10</v>
      </c>
      <c r="N342">
        <v>11349</v>
      </c>
      <c r="O342">
        <v>113490</v>
      </c>
      <c r="P342">
        <v>42413</v>
      </c>
      <c r="Q342" t="s">
        <v>1083</v>
      </c>
      <c r="R342">
        <v>2026</v>
      </c>
    </row>
    <row r="343" spans="1:18" x14ac:dyDescent="0.3">
      <c r="A343" t="s">
        <v>1111</v>
      </c>
      <c r="B343" t="s">
        <v>1091</v>
      </c>
      <c r="C343" t="s">
        <v>1112</v>
      </c>
      <c r="D343" t="s">
        <v>43</v>
      </c>
      <c r="E343" t="s">
        <v>111</v>
      </c>
      <c r="F343" t="s">
        <v>96</v>
      </c>
      <c r="G343" t="s">
        <v>102</v>
      </c>
      <c r="H343" t="s">
        <v>279</v>
      </c>
      <c r="I343" t="s">
        <v>37</v>
      </c>
      <c r="J343" t="s">
        <v>27</v>
      </c>
      <c r="K343" t="s">
        <v>38</v>
      </c>
      <c r="L343" t="s">
        <v>39</v>
      </c>
      <c r="M343">
        <v>10</v>
      </c>
      <c r="N343">
        <v>8422</v>
      </c>
      <c r="O343">
        <v>84220</v>
      </c>
      <c r="P343">
        <v>58511</v>
      </c>
      <c r="Q343" t="s">
        <v>1113</v>
      </c>
      <c r="R343">
        <v>2026</v>
      </c>
    </row>
    <row r="344" spans="1:18" x14ac:dyDescent="0.3">
      <c r="A344" t="s">
        <v>1114</v>
      </c>
      <c r="B344" t="s">
        <v>1091</v>
      </c>
      <c r="C344" t="s">
        <v>1115</v>
      </c>
      <c r="D344" t="s">
        <v>43</v>
      </c>
      <c r="E344" t="s">
        <v>22</v>
      </c>
      <c r="F344" t="s">
        <v>75</v>
      </c>
      <c r="G344" t="s">
        <v>102</v>
      </c>
      <c r="H344" t="s">
        <v>143</v>
      </c>
      <c r="I344" t="s">
        <v>26</v>
      </c>
      <c r="J344" t="s">
        <v>59</v>
      </c>
      <c r="K344" t="s">
        <v>71</v>
      </c>
      <c r="L344" t="s">
        <v>125</v>
      </c>
      <c r="M344">
        <v>2</v>
      </c>
      <c r="N344">
        <v>23192</v>
      </c>
      <c r="O344">
        <v>46384</v>
      </c>
      <c r="P344">
        <v>86363</v>
      </c>
      <c r="Q344" t="s">
        <v>1116</v>
      </c>
      <c r="R344">
        <v>2026</v>
      </c>
    </row>
    <row r="345" spans="1:18" x14ac:dyDescent="0.3">
      <c r="A345" t="s">
        <v>1117</v>
      </c>
      <c r="B345" t="s">
        <v>1091</v>
      </c>
      <c r="C345" t="s">
        <v>1118</v>
      </c>
      <c r="D345" t="s">
        <v>33</v>
      </c>
      <c r="E345" t="s">
        <v>82</v>
      </c>
      <c r="F345" t="s">
        <v>96</v>
      </c>
      <c r="G345" t="s">
        <v>35</v>
      </c>
      <c r="H345" t="s">
        <v>107</v>
      </c>
      <c r="I345" t="s">
        <v>37</v>
      </c>
      <c r="J345" t="s">
        <v>52</v>
      </c>
      <c r="K345" t="s">
        <v>38</v>
      </c>
      <c r="L345" t="s">
        <v>39</v>
      </c>
      <c r="M345">
        <v>9</v>
      </c>
      <c r="N345">
        <v>39641</v>
      </c>
      <c r="O345">
        <v>356769</v>
      </c>
      <c r="P345">
        <v>111933</v>
      </c>
      <c r="Q345" t="s">
        <v>1119</v>
      </c>
      <c r="R345">
        <v>2026</v>
      </c>
    </row>
    <row r="346" spans="1:18" x14ac:dyDescent="0.3">
      <c r="A346" t="s">
        <v>1120</v>
      </c>
      <c r="B346" t="s">
        <v>1091</v>
      </c>
      <c r="C346" t="s">
        <v>1121</v>
      </c>
      <c r="D346" t="s">
        <v>33</v>
      </c>
      <c r="E346" t="s">
        <v>44</v>
      </c>
      <c r="F346" t="s">
        <v>23</v>
      </c>
      <c r="G346" t="s">
        <v>24</v>
      </c>
      <c r="H346" t="s">
        <v>76</v>
      </c>
      <c r="I346" t="s">
        <v>26</v>
      </c>
      <c r="J346" t="s">
        <v>52</v>
      </c>
      <c r="K346" t="s">
        <v>38</v>
      </c>
      <c r="L346" t="s">
        <v>117</v>
      </c>
      <c r="M346">
        <v>8</v>
      </c>
      <c r="N346">
        <v>12488</v>
      </c>
      <c r="O346">
        <v>99904</v>
      </c>
      <c r="P346">
        <v>83501</v>
      </c>
      <c r="Q346" t="s">
        <v>1122</v>
      </c>
      <c r="R346">
        <v>2026</v>
      </c>
    </row>
    <row r="347" spans="1:18" x14ac:dyDescent="0.3">
      <c r="A347" t="s">
        <v>1123</v>
      </c>
      <c r="B347" t="s">
        <v>1091</v>
      </c>
      <c r="C347" t="s">
        <v>1124</v>
      </c>
      <c r="D347" t="s">
        <v>33</v>
      </c>
      <c r="E347" t="s">
        <v>111</v>
      </c>
      <c r="F347" t="s">
        <v>96</v>
      </c>
      <c r="G347" t="s">
        <v>83</v>
      </c>
      <c r="H347" t="s">
        <v>84</v>
      </c>
      <c r="I347" t="s">
        <v>77</v>
      </c>
      <c r="J347" t="s">
        <v>52</v>
      </c>
      <c r="K347" t="s">
        <v>71</v>
      </c>
      <c r="L347" t="s">
        <v>60</v>
      </c>
      <c r="M347">
        <v>8</v>
      </c>
      <c r="N347">
        <v>42191</v>
      </c>
      <c r="O347">
        <v>337528</v>
      </c>
      <c r="P347">
        <v>81003</v>
      </c>
      <c r="Q347" t="s">
        <v>1125</v>
      </c>
      <c r="R347">
        <v>2026</v>
      </c>
    </row>
    <row r="348" spans="1:18" x14ac:dyDescent="0.3">
      <c r="A348" t="s">
        <v>1126</v>
      </c>
      <c r="B348" t="s">
        <v>1091</v>
      </c>
      <c r="C348" t="s">
        <v>1127</v>
      </c>
      <c r="D348" t="s">
        <v>64</v>
      </c>
      <c r="E348" t="s">
        <v>111</v>
      </c>
      <c r="F348" t="s">
        <v>34</v>
      </c>
      <c r="G348" t="s">
        <v>24</v>
      </c>
      <c r="H348" t="s">
        <v>279</v>
      </c>
      <c r="I348" t="s">
        <v>77</v>
      </c>
      <c r="J348" t="s">
        <v>27</v>
      </c>
      <c r="K348" t="s">
        <v>38</v>
      </c>
      <c r="L348" t="s">
        <v>60</v>
      </c>
      <c r="M348">
        <v>6</v>
      </c>
      <c r="N348">
        <v>49460</v>
      </c>
      <c r="O348">
        <v>296760</v>
      </c>
      <c r="P348">
        <v>96045</v>
      </c>
      <c r="Q348" t="s">
        <v>1128</v>
      </c>
      <c r="R348">
        <v>2026</v>
      </c>
    </row>
    <row r="349" spans="1:18" x14ac:dyDescent="0.3">
      <c r="A349" t="s">
        <v>1129</v>
      </c>
      <c r="B349" t="s">
        <v>1091</v>
      </c>
      <c r="C349" t="s">
        <v>1130</v>
      </c>
      <c r="D349" t="s">
        <v>33</v>
      </c>
      <c r="E349" t="s">
        <v>82</v>
      </c>
      <c r="F349" t="s">
        <v>75</v>
      </c>
      <c r="G349" t="s">
        <v>97</v>
      </c>
      <c r="H349" t="s">
        <v>121</v>
      </c>
      <c r="I349" t="s">
        <v>77</v>
      </c>
      <c r="J349" t="s">
        <v>52</v>
      </c>
      <c r="K349" t="s">
        <v>78</v>
      </c>
      <c r="L349" t="s">
        <v>39</v>
      </c>
      <c r="M349">
        <v>10</v>
      </c>
      <c r="N349">
        <v>21821</v>
      </c>
      <c r="O349">
        <v>218210</v>
      </c>
      <c r="P349">
        <v>42081</v>
      </c>
      <c r="Q349" t="s">
        <v>1131</v>
      </c>
      <c r="R349">
        <v>2026</v>
      </c>
    </row>
    <row r="350" spans="1:18" x14ac:dyDescent="0.3">
      <c r="A350" t="s">
        <v>1132</v>
      </c>
      <c r="B350" t="s">
        <v>1091</v>
      </c>
      <c r="C350" t="s">
        <v>1133</v>
      </c>
      <c r="D350" t="s">
        <v>43</v>
      </c>
      <c r="E350" t="s">
        <v>22</v>
      </c>
      <c r="F350" t="s">
        <v>75</v>
      </c>
      <c r="G350" t="s">
        <v>97</v>
      </c>
      <c r="H350" t="s">
        <v>65</v>
      </c>
      <c r="I350" t="s">
        <v>45</v>
      </c>
      <c r="J350" t="s">
        <v>59</v>
      </c>
      <c r="K350" t="s">
        <v>71</v>
      </c>
      <c r="L350" t="s">
        <v>125</v>
      </c>
      <c r="M350">
        <v>5</v>
      </c>
      <c r="N350">
        <v>5263</v>
      </c>
      <c r="O350">
        <v>26315</v>
      </c>
      <c r="P350">
        <v>56347</v>
      </c>
      <c r="Q350" t="s">
        <v>1134</v>
      </c>
      <c r="R350">
        <v>2026</v>
      </c>
    </row>
    <row r="351" spans="1:18" x14ac:dyDescent="0.3">
      <c r="A351" t="s">
        <v>1135</v>
      </c>
      <c r="B351" t="s">
        <v>1091</v>
      </c>
      <c r="C351" t="s">
        <v>1136</v>
      </c>
      <c r="D351" t="s">
        <v>64</v>
      </c>
      <c r="E351" t="s">
        <v>82</v>
      </c>
      <c r="F351" t="s">
        <v>44</v>
      </c>
      <c r="G351" t="s">
        <v>24</v>
      </c>
      <c r="H351" t="s">
        <v>154</v>
      </c>
      <c r="I351" t="s">
        <v>26</v>
      </c>
      <c r="J351" t="s">
        <v>59</v>
      </c>
      <c r="K351" t="s">
        <v>78</v>
      </c>
      <c r="L351" t="s">
        <v>117</v>
      </c>
      <c r="M351">
        <v>2</v>
      </c>
      <c r="N351">
        <v>43649</v>
      </c>
      <c r="O351">
        <v>87298</v>
      </c>
      <c r="P351">
        <v>12580</v>
      </c>
      <c r="Q351" t="s">
        <v>1137</v>
      </c>
      <c r="R351">
        <v>2026</v>
      </c>
    </row>
    <row r="352" spans="1:18" x14ac:dyDescent="0.3">
      <c r="A352" t="s">
        <v>1138</v>
      </c>
      <c r="B352" t="s">
        <v>1091</v>
      </c>
      <c r="C352" t="s">
        <v>1139</v>
      </c>
      <c r="D352" t="s">
        <v>21</v>
      </c>
      <c r="E352" t="s">
        <v>82</v>
      </c>
      <c r="F352" t="s">
        <v>44</v>
      </c>
      <c r="G352" t="s">
        <v>112</v>
      </c>
      <c r="H352" t="s">
        <v>65</v>
      </c>
      <c r="I352" t="s">
        <v>45</v>
      </c>
      <c r="J352" t="s">
        <v>59</v>
      </c>
      <c r="K352" t="s">
        <v>38</v>
      </c>
      <c r="L352" t="s">
        <v>29</v>
      </c>
      <c r="M352">
        <v>1</v>
      </c>
      <c r="N352">
        <v>7683</v>
      </c>
      <c r="O352">
        <v>7683</v>
      </c>
      <c r="P352">
        <v>16917</v>
      </c>
      <c r="Q352" t="s">
        <v>1140</v>
      </c>
      <c r="R352">
        <v>2026</v>
      </c>
    </row>
    <row r="353" spans="1:18" x14ac:dyDescent="0.3">
      <c r="A353" t="s">
        <v>1141</v>
      </c>
      <c r="B353" t="s">
        <v>1091</v>
      </c>
      <c r="C353" t="s">
        <v>1142</v>
      </c>
      <c r="D353" t="s">
        <v>43</v>
      </c>
      <c r="E353" t="s">
        <v>44</v>
      </c>
      <c r="F353" t="s">
        <v>75</v>
      </c>
      <c r="G353" t="s">
        <v>24</v>
      </c>
      <c r="H353" t="s">
        <v>36</v>
      </c>
      <c r="I353" t="s">
        <v>37</v>
      </c>
      <c r="J353" t="s">
        <v>52</v>
      </c>
      <c r="K353" t="s">
        <v>71</v>
      </c>
      <c r="L353" t="s">
        <v>85</v>
      </c>
      <c r="M353">
        <v>3</v>
      </c>
      <c r="N353">
        <v>43177</v>
      </c>
      <c r="O353">
        <v>129531</v>
      </c>
      <c r="P353">
        <v>86591</v>
      </c>
      <c r="Q353" t="s">
        <v>1143</v>
      </c>
      <c r="R353">
        <v>2026</v>
      </c>
    </row>
    <row r="354" spans="1:18" x14ac:dyDescent="0.3">
      <c r="A354" t="s">
        <v>1144</v>
      </c>
      <c r="B354" t="s">
        <v>1091</v>
      </c>
      <c r="C354" t="s">
        <v>1145</v>
      </c>
      <c r="D354" t="s">
        <v>21</v>
      </c>
      <c r="E354" t="s">
        <v>82</v>
      </c>
      <c r="F354" t="s">
        <v>96</v>
      </c>
      <c r="G354" t="s">
        <v>116</v>
      </c>
      <c r="H354" t="s">
        <v>279</v>
      </c>
      <c r="I354" t="s">
        <v>45</v>
      </c>
      <c r="J354" t="s">
        <v>52</v>
      </c>
      <c r="K354" t="s">
        <v>71</v>
      </c>
      <c r="L354" t="s">
        <v>53</v>
      </c>
      <c r="M354">
        <v>5</v>
      </c>
      <c r="N354">
        <v>9312</v>
      </c>
      <c r="O354">
        <v>46560</v>
      </c>
      <c r="P354">
        <v>79182</v>
      </c>
      <c r="Q354" t="s">
        <v>1146</v>
      </c>
      <c r="R354">
        <v>2026</v>
      </c>
    </row>
    <row r="355" spans="1:18" x14ac:dyDescent="0.3">
      <c r="A355" t="s">
        <v>1147</v>
      </c>
      <c r="B355" t="s">
        <v>1091</v>
      </c>
      <c r="C355" t="s">
        <v>1148</v>
      </c>
      <c r="D355" t="s">
        <v>43</v>
      </c>
      <c r="E355" t="s">
        <v>57</v>
      </c>
      <c r="F355" t="s">
        <v>44</v>
      </c>
      <c r="G355" t="s">
        <v>24</v>
      </c>
      <c r="H355" t="s">
        <v>177</v>
      </c>
      <c r="I355" t="s">
        <v>37</v>
      </c>
      <c r="J355" t="s">
        <v>27</v>
      </c>
      <c r="K355" t="s">
        <v>38</v>
      </c>
      <c r="L355" t="s">
        <v>53</v>
      </c>
      <c r="M355">
        <v>4</v>
      </c>
      <c r="N355">
        <v>5885</v>
      </c>
      <c r="O355">
        <v>23540</v>
      </c>
      <c r="P355">
        <v>23463</v>
      </c>
      <c r="Q355" t="s">
        <v>688</v>
      </c>
      <c r="R355">
        <v>2026</v>
      </c>
    </row>
    <row r="356" spans="1:18" x14ac:dyDescent="0.3">
      <c r="A356" t="s">
        <v>1149</v>
      </c>
      <c r="B356" t="s">
        <v>1091</v>
      </c>
      <c r="C356" t="s">
        <v>1150</v>
      </c>
      <c r="D356" t="s">
        <v>21</v>
      </c>
      <c r="E356" t="s">
        <v>44</v>
      </c>
      <c r="F356" t="s">
        <v>75</v>
      </c>
      <c r="G356" t="s">
        <v>83</v>
      </c>
      <c r="H356" t="s">
        <v>36</v>
      </c>
      <c r="I356" t="s">
        <v>26</v>
      </c>
      <c r="J356" t="s">
        <v>52</v>
      </c>
      <c r="K356" t="s">
        <v>78</v>
      </c>
      <c r="L356" t="s">
        <v>39</v>
      </c>
      <c r="M356">
        <v>9</v>
      </c>
      <c r="N356">
        <v>8612</v>
      </c>
      <c r="O356">
        <v>77508</v>
      </c>
      <c r="P356">
        <v>110533</v>
      </c>
      <c r="Q356" t="s">
        <v>1151</v>
      </c>
      <c r="R356">
        <v>2026</v>
      </c>
    </row>
    <row r="357" spans="1:18" x14ac:dyDescent="0.3">
      <c r="A357" t="s">
        <v>1152</v>
      </c>
      <c r="B357" t="s">
        <v>1091</v>
      </c>
      <c r="C357" t="s">
        <v>1153</v>
      </c>
      <c r="D357" t="s">
        <v>43</v>
      </c>
      <c r="E357" t="s">
        <v>22</v>
      </c>
      <c r="F357" t="s">
        <v>44</v>
      </c>
      <c r="G357" t="s">
        <v>24</v>
      </c>
      <c r="H357" t="s">
        <v>154</v>
      </c>
      <c r="I357" t="s">
        <v>45</v>
      </c>
      <c r="J357" t="s">
        <v>27</v>
      </c>
      <c r="K357" t="s">
        <v>38</v>
      </c>
      <c r="L357" t="s">
        <v>29</v>
      </c>
      <c r="M357">
        <v>6</v>
      </c>
      <c r="N357">
        <v>30964</v>
      </c>
      <c r="O357">
        <v>185784</v>
      </c>
      <c r="P357">
        <v>142743</v>
      </c>
      <c r="Q357" t="s">
        <v>926</v>
      </c>
      <c r="R357">
        <v>2026</v>
      </c>
    </row>
    <row r="358" spans="1:18" x14ac:dyDescent="0.3">
      <c r="A358" t="s">
        <v>1154</v>
      </c>
      <c r="B358" t="s">
        <v>1091</v>
      </c>
      <c r="C358" t="s">
        <v>1155</v>
      </c>
      <c r="D358" t="s">
        <v>64</v>
      </c>
      <c r="E358" t="s">
        <v>44</v>
      </c>
      <c r="F358" t="s">
        <v>50</v>
      </c>
      <c r="G358" t="s">
        <v>89</v>
      </c>
      <c r="H358" t="s">
        <v>36</v>
      </c>
      <c r="I358" t="s">
        <v>77</v>
      </c>
      <c r="J358" t="s">
        <v>52</v>
      </c>
      <c r="K358" t="s">
        <v>28</v>
      </c>
      <c r="L358" t="s">
        <v>85</v>
      </c>
      <c r="M358">
        <v>4</v>
      </c>
      <c r="N358">
        <v>22323</v>
      </c>
      <c r="O358">
        <v>89292</v>
      </c>
      <c r="P358">
        <v>144607</v>
      </c>
      <c r="Q358" t="s">
        <v>1156</v>
      </c>
      <c r="R358">
        <v>2026</v>
      </c>
    </row>
    <row r="359" spans="1:18" x14ac:dyDescent="0.3">
      <c r="A359" t="s">
        <v>1157</v>
      </c>
      <c r="B359" t="s">
        <v>1091</v>
      </c>
      <c r="C359" t="s">
        <v>1158</v>
      </c>
      <c r="D359" t="s">
        <v>21</v>
      </c>
      <c r="E359" t="s">
        <v>44</v>
      </c>
      <c r="F359" t="s">
        <v>34</v>
      </c>
      <c r="G359" t="s">
        <v>112</v>
      </c>
      <c r="H359" t="s">
        <v>25</v>
      </c>
      <c r="I359" t="s">
        <v>45</v>
      </c>
      <c r="J359" t="s">
        <v>59</v>
      </c>
      <c r="K359" t="s">
        <v>71</v>
      </c>
      <c r="L359" t="s">
        <v>125</v>
      </c>
      <c r="M359">
        <v>3</v>
      </c>
      <c r="N359">
        <v>24687</v>
      </c>
      <c r="O359">
        <v>74061</v>
      </c>
      <c r="P359">
        <v>48030</v>
      </c>
      <c r="Q359" t="s">
        <v>1159</v>
      </c>
      <c r="R359">
        <v>2026</v>
      </c>
    </row>
    <row r="360" spans="1:18" x14ac:dyDescent="0.3">
      <c r="A360" t="s">
        <v>1160</v>
      </c>
      <c r="B360" t="s">
        <v>1091</v>
      </c>
      <c r="C360" t="s">
        <v>1161</v>
      </c>
      <c r="D360" t="s">
        <v>21</v>
      </c>
      <c r="E360" t="s">
        <v>57</v>
      </c>
      <c r="F360" t="s">
        <v>34</v>
      </c>
      <c r="G360" t="s">
        <v>89</v>
      </c>
      <c r="H360" t="s">
        <v>154</v>
      </c>
      <c r="I360" t="s">
        <v>26</v>
      </c>
      <c r="J360" t="s">
        <v>52</v>
      </c>
      <c r="K360" t="s">
        <v>28</v>
      </c>
      <c r="L360" t="s">
        <v>53</v>
      </c>
      <c r="M360">
        <v>1</v>
      </c>
      <c r="N360">
        <v>13517</v>
      </c>
      <c r="O360">
        <v>13517</v>
      </c>
      <c r="P360">
        <v>68278</v>
      </c>
      <c r="Q360" t="s">
        <v>1162</v>
      </c>
      <c r="R360">
        <v>2026</v>
      </c>
    </row>
    <row r="361" spans="1:18" x14ac:dyDescent="0.3">
      <c r="A361" t="s">
        <v>1163</v>
      </c>
      <c r="B361" t="s">
        <v>1091</v>
      </c>
      <c r="C361" t="s">
        <v>1164</v>
      </c>
      <c r="D361" t="s">
        <v>64</v>
      </c>
      <c r="E361" t="s">
        <v>111</v>
      </c>
      <c r="F361" t="s">
        <v>75</v>
      </c>
      <c r="G361" t="s">
        <v>102</v>
      </c>
      <c r="H361" t="s">
        <v>76</v>
      </c>
      <c r="I361" t="s">
        <v>37</v>
      </c>
      <c r="J361" t="s">
        <v>27</v>
      </c>
      <c r="K361" t="s">
        <v>71</v>
      </c>
      <c r="L361" t="s">
        <v>125</v>
      </c>
      <c r="M361">
        <v>6</v>
      </c>
      <c r="N361">
        <v>45636</v>
      </c>
      <c r="O361">
        <v>273816</v>
      </c>
      <c r="P361">
        <v>33490</v>
      </c>
      <c r="Q361" t="s">
        <v>1165</v>
      </c>
      <c r="R361">
        <v>2026</v>
      </c>
    </row>
    <row r="362" spans="1:18" x14ac:dyDescent="0.3">
      <c r="A362" t="s">
        <v>1166</v>
      </c>
      <c r="B362" t="s">
        <v>1091</v>
      </c>
      <c r="C362" t="s">
        <v>1167</v>
      </c>
      <c r="D362" t="s">
        <v>21</v>
      </c>
      <c r="E362" t="s">
        <v>49</v>
      </c>
      <c r="F362" t="s">
        <v>96</v>
      </c>
      <c r="G362" t="s">
        <v>89</v>
      </c>
      <c r="H362" t="s">
        <v>228</v>
      </c>
      <c r="I362" t="s">
        <v>26</v>
      </c>
      <c r="J362" t="s">
        <v>27</v>
      </c>
      <c r="K362" t="s">
        <v>38</v>
      </c>
      <c r="L362" t="s">
        <v>60</v>
      </c>
      <c r="M362">
        <v>10</v>
      </c>
      <c r="N362">
        <v>4400</v>
      </c>
      <c r="O362">
        <v>44000</v>
      </c>
      <c r="P362">
        <v>128593</v>
      </c>
      <c r="Q362" t="s">
        <v>1168</v>
      </c>
      <c r="R362">
        <v>2026</v>
      </c>
    </row>
    <row r="363" spans="1:18" x14ac:dyDescent="0.3">
      <c r="A363" t="s">
        <v>1169</v>
      </c>
      <c r="B363" t="s">
        <v>1091</v>
      </c>
      <c r="C363" t="s">
        <v>1170</v>
      </c>
      <c r="D363" t="s">
        <v>21</v>
      </c>
      <c r="E363" t="s">
        <v>49</v>
      </c>
      <c r="F363" t="s">
        <v>44</v>
      </c>
      <c r="G363" t="s">
        <v>116</v>
      </c>
      <c r="H363" t="s">
        <v>25</v>
      </c>
      <c r="I363" t="s">
        <v>77</v>
      </c>
      <c r="J363" t="s">
        <v>27</v>
      </c>
      <c r="K363" t="s">
        <v>38</v>
      </c>
      <c r="L363" t="s">
        <v>60</v>
      </c>
      <c r="M363">
        <v>7</v>
      </c>
      <c r="N363">
        <v>42638</v>
      </c>
      <c r="O363">
        <v>298466</v>
      </c>
      <c r="P363">
        <v>98005</v>
      </c>
      <c r="Q363" t="s">
        <v>1171</v>
      </c>
      <c r="R363">
        <v>2026</v>
      </c>
    </row>
    <row r="364" spans="1:18" x14ac:dyDescent="0.3">
      <c r="A364" t="s">
        <v>1172</v>
      </c>
      <c r="B364" t="s">
        <v>1091</v>
      </c>
      <c r="C364" t="s">
        <v>1173</v>
      </c>
      <c r="D364" t="s">
        <v>43</v>
      </c>
      <c r="E364" t="s">
        <v>111</v>
      </c>
      <c r="F364" t="s">
        <v>23</v>
      </c>
      <c r="G364" t="s">
        <v>102</v>
      </c>
      <c r="H364" t="s">
        <v>228</v>
      </c>
      <c r="I364" t="s">
        <v>45</v>
      </c>
      <c r="J364" t="s">
        <v>27</v>
      </c>
      <c r="K364" t="s">
        <v>78</v>
      </c>
      <c r="L364" t="s">
        <v>29</v>
      </c>
      <c r="M364">
        <v>10</v>
      </c>
      <c r="N364">
        <v>40394</v>
      </c>
      <c r="O364">
        <v>403940</v>
      </c>
      <c r="P364">
        <v>61279</v>
      </c>
      <c r="Q364" t="s">
        <v>1174</v>
      </c>
      <c r="R364">
        <v>2026</v>
      </c>
    </row>
    <row r="365" spans="1:18" x14ac:dyDescent="0.3">
      <c r="A365" t="s">
        <v>1175</v>
      </c>
      <c r="B365" t="s">
        <v>1091</v>
      </c>
      <c r="C365" t="s">
        <v>1176</v>
      </c>
      <c r="D365" t="s">
        <v>43</v>
      </c>
      <c r="E365" t="s">
        <v>111</v>
      </c>
      <c r="F365" t="s">
        <v>50</v>
      </c>
      <c r="G365" t="s">
        <v>83</v>
      </c>
      <c r="H365" t="s">
        <v>98</v>
      </c>
      <c r="I365" t="s">
        <v>26</v>
      </c>
      <c r="J365" t="s">
        <v>27</v>
      </c>
      <c r="K365" t="s">
        <v>71</v>
      </c>
      <c r="L365" t="s">
        <v>66</v>
      </c>
      <c r="M365">
        <v>7</v>
      </c>
      <c r="N365">
        <v>31587</v>
      </c>
      <c r="O365">
        <v>221109</v>
      </c>
      <c r="P365">
        <v>28823</v>
      </c>
      <c r="Q365" t="s">
        <v>1177</v>
      </c>
      <c r="R365">
        <v>2026</v>
      </c>
    </row>
    <row r="366" spans="1:18" x14ac:dyDescent="0.3">
      <c r="A366" t="s">
        <v>1178</v>
      </c>
      <c r="B366" t="s">
        <v>1091</v>
      </c>
      <c r="C366" t="s">
        <v>1179</v>
      </c>
      <c r="D366" t="s">
        <v>21</v>
      </c>
      <c r="E366" t="s">
        <v>49</v>
      </c>
      <c r="F366" t="s">
        <v>23</v>
      </c>
      <c r="G366" t="s">
        <v>35</v>
      </c>
      <c r="H366" t="s">
        <v>232</v>
      </c>
      <c r="I366" t="s">
        <v>45</v>
      </c>
      <c r="J366" t="s">
        <v>59</v>
      </c>
      <c r="K366" t="s">
        <v>28</v>
      </c>
      <c r="L366" t="s">
        <v>39</v>
      </c>
      <c r="M366">
        <v>5</v>
      </c>
      <c r="N366">
        <v>20014</v>
      </c>
      <c r="O366">
        <v>100070</v>
      </c>
      <c r="P366">
        <v>28020</v>
      </c>
      <c r="Q366" t="s">
        <v>1180</v>
      </c>
      <c r="R366">
        <v>2026</v>
      </c>
    </row>
    <row r="367" spans="1:18" x14ac:dyDescent="0.3">
      <c r="A367" t="s">
        <v>1181</v>
      </c>
      <c r="B367" t="s">
        <v>19</v>
      </c>
      <c r="C367" t="s">
        <v>1182</v>
      </c>
      <c r="D367" t="s">
        <v>43</v>
      </c>
      <c r="E367" t="s">
        <v>57</v>
      </c>
      <c r="F367" t="s">
        <v>75</v>
      </c>
      <c r="G367" t="s">
        <v>112</v>
      </c>
      <c r="H367" t="s">
        <v>200</v>
      </c>
      <c r="I367" t="s">
        <v>37</v>
      </c>
      <c r="J367" t="s">
        <v>52</v>
      </c>
      <c r="K367" t="s">
        <v>71</v>
      </c>
      <c r="L367" t="s">
        <v>60</v>
      </c>
      <c r="M367">
        <v>9</v>
      </c>
      <c r="N367">
        <v>39452</v>
      </c>
      <c r="O367">
        <v>355068</v>
      </c>
      <c r="P367">
        <v>81408</v>
      </c>
      <c r="Q367" t="s">
        <v>1183</v>
      </c>
      <c r="R367">
        <v>2027</v>
      </c>
    </row>
    <row r="368" spans="1:18" x14ac:dyDescent="0.3">
      <c r="A368" t="s">
        <v>1184</v>
      </c>
      <c r="B368" t="s">
        <v>19</v>
      </c>
      <c r="C368" t="s">
        <v>1185</v>
      </c>
      <c r="D368" t="s">
        <v>64</v>
      </c>
      <c r="E368" t="s">
        <v>44</v>
      </c>
      <c r="F368" t="s">
        <v>75</v>
      </c>
      <c r="G368" t="s">
        <v>24</v>
      </c>
      <c r="H368" t="s">
        <v>25</v>
      </c>
      <c r="I368" t="s">
        <v>26</v>
      </c>
      <c r="J368" t="s">
        <v>59</v>
      </c>
      <c r="K368" t="s">
        <v>71</v>
      </c>
      <c r="L368" t="s">
        <v>125</v>
      </c>
      <c r="M368">
        <v>6</v>
      </c>
      <c r="N368">
        <v>13512</v>
      </c>
      <c r="O368">
        <v>81072</v>
      </c>
      <c r="P368">
        <v>132269</v>
      </c>
      <c r="Q368" t="s">
        <v>1186</v>
      </c>
      <c r="R368">
        <v>2027</v>
      </c>
    </row>
    <row r="369" spans="1:18" x14ac:dyDescent="0.3">
      <c r="A369" t="s">
        <v>1187</v>
      </c>
      <c r="B369" t="s">
        <v>19</v>
      </c>
      <c r="C369" t="s">
        <v>1188</v>
      </c>
      <c r="D369" t="s">
        <v>64</v>
      </c>
      <c r="E369" t="s">
        <v>44</v>
      </c>
      <c r="F369" t="s">
        <v>96</v>
      </c>
      <c r="G369" t="s">
        <v>89</v>
      </c>
      <c r="H369" t="s">
        <v>143</v>
      </c>
      <c r="I369" t="s">
        <v>45</v>
      </c>
      <c r="J369" t="s">
        <v>52</v>
      </c>
      <c r="K369" t="s">
        <v>78</v>
      </c>
      <c r="L369" t="s">
        <v>60</v>
      </c>
      <c r="M369">
        <v>4</v>
      </c>
      <c r="N369">
        <v>36244</v>
      </c>
      <c r="O369">
        <v>144976</v>
      </c>
      <c r="P369">
        <v>66963</v>
      </c>
      <c r="Q369" t="s">
        <v>1189</v>
      </c>
      <c r="R369">
        <v>2027</v>
      </c>
    </row>
    <row r="370" spans="1:18" x14ac:dyDescent="0.3">
      <c r="A370" t="s">
        <v>1190</v>
      </c>
      <c r="B370" t="s">
        <v>19</v>
      </c>
      <c r="C370" t="s">
        <v>1191</v>
      </c>
      <c r="D370" t="s">
        <v>33</v>
      </c>
      <c r="E370" t="s">
        <v>82</v>
      </c>
      <c r="F370" t="s">
        <v>96</v>
      </c>
      <c r="G370" t="s">
        <v>24</v>
      </c>
      <c r="H370" t="s">
        <v>76</v>
      </c>
      <c r="I370" t="s">
        <v>45</v>
      </c>
      <c r="J370" t="s">
        <v>27</v>
      </c>
      <c r="K370" t="s">
        <v>28</v>
      </c>
      <c r="L370" t="s">
        <v>85</v>
      </c>
      <c r="M370">
        <v>8</v>
      </c>
      <c r="N370">
        <v>29239</v>
      </c>
      <c r="O370">
        <v>233912</v>
      </c>
      <c r="P370">
        <v>79860</v>
      </c>
      <c r="Q370" t="s">
        <v>1192</v>
      </c>
      <c r="R370">
        <v>2027</v>
      </c>
    </row>
    <row r="371" spans="1:18" x14ac:dyDescent="0.3">
      <c r="A371" t="s">
        <v>1193</v>
      </c>
      <c r="B371" t="s">
        <v>19</v>
      </c>
      <c r="C371" t="s">
        <v>1194</v>
      </c>
      <c r="D371" t="s">
        <v>43</v>
      </c>
      <c r="E371" t="s">
        <v>49</v>
      </c>
      <c r="F371" t="s">
        <v>75</v>
      </c>
      <c r="G371" t="s">
        <v>35</v>
      </c>
      <c r="H371" t="s">
        <v>65</v>
      </c>
      <c r="I371" t="s">
        <v>45</v>
      </c>
      <c r="J371" t="s">
        <v>59</v>
      </c>
      <c r="K371" t="s">
        <v>78</v>
      </c>
      <c r="L371" t="s">
        <v>60</v>
      </c>
      <c r="M371">
        <v>6</v>
      </c>
      <c r="N371">
        <v>31177</v>
      </c>
      <c r="O371">
        <v>187062</v>
      </c>
      <c r="P371">
        <v>58680</v>
      </c>
      <c r="Q371" t="s">
        <v>1195</v>
      </c>
      <c r="R371">
        <v>2027</v>
      </c>
    </row>
    <row r="372" spans="1:18" x14ac:dyDescent="0.3">
      <c r="A372" t="s">
        <v>1196</v>
      </c>
      <c r="B372" t="s">
        <v>19</v>
      </c>
      <c r="C372" t="s">
        <v>1197</v>
      </c>
      <c r="D372" t="s">
        <v>64</v>
      </c>
      <c r="E372" t="s">
        <v>49</v>
      </c>
      <c r="F372" t="s">
        <v>75</v>
      </c>
      <c r="G372" t="s">
        <v>89</v>
      </c>
      <c r="H372" t="s">
        <v>25</v>
      </c>
      <c r="I372" t="s">
        <v>77</v>
      </c>
      <c r="J372" t="s">
        <v>59</v>
      </c>
      <c r="K372" t="s">
        <v>78</v>
      </c>
      <c r="L372" t="s">
        <v>53</v>
      </c>
      <c r="M372">
        <v>3</v>
      </c>
      <c r="N372">
        <v>46554</v>
      </c>
      <c r="O372">
        <v>139662</v>
      </c>
      <c r="P372">
        <v>58697</v>
      </c>
      <c r="Q372" t="s">
        <v>1198</v>
      </c>
      <c r="R372">
        <v>2027</v>
      </c>
    </row>
    <row r="373" spans="1:18" x14ac:dyDescent="0.3">
      <c r="A373" t="s">
        <v>1199</v>
      </c>
      <c r="B373" t="s">
        <v>19</v>
      </c>
      <c r="C373" t="s">
        <v>1200</v>
      </c>
      <c r="D373" t="s">
        <v>64</v>
      </c>
      <c r="E373" t="s">
        <v>111</v>
      </c>
      <c r="F373" t="s">
        <v>50</v>
      </c>
      <c r="G373" t="s">
        <v>89</v>
      </c>
      <c r="H373" t="s">
        <v>129</v>
      </c>
      <c r="I373" t="s">
        <v>26</v>
      </c>
      <c r="J373" t="s">
        <v>27</v>
      </c>
      <c r="K373" t="s">
        <v>28</v>
      </c>
      <c r="L373" t="s">
        <v>117</v>
      </c>
      <c r="M373">
        <v>4</v>
      </c>
      <c r="N373">
        <v>35902</v>
      </c>
      <c r="O373">
        <v>143608</v>
      </c>
      <c r="P373">
        <v>97254</v>
      </c>
      <c r="Q373" t="s">
        <v>1201</v>
      </c>
      <c r="R373">
        <v>2027</v>
      </c>
    </row>
    <row r="374" spans="1:18" x14ac:dyDescent="0.3">
      <c r="A374" t="s">
        <v>1202</v>
      </c>
      <c r="B374" t="s">
        <v>19</v>
      </c>
      <c r="C374" t="s">
        <v>1203</v>
      </c>
      <c r="D374" t="s">
        <v>64</v>
      </c>
      <c r="E374" t="s">
        <v>44</v>
      </c>
      <c r="F374" t="s">
        <v>44</v>
      </c>
      <c r="G374" t="s">
        <v>116</v>
      </c>
      <c r="H374" t="s">
        <v>154</v>
      </c>
      <c r="I374" t="s">
        <v>77</v>
      </c>
      <c r="J374" t="s">
        <v>27</v>
      </c>
      <c r="K374" t="s">
        <v>38</v>
      </c>
      <c r="L374" t="s">
        <v>117</v>
      </c>
      <c r="M374">
        <v>4</v>
      </c>
      <c r="N374">
        <v>2375</v>
      </c>
      <c r="O374">
        <v>9500</v>
      </c>
      <c r="P374">
        <v>57890</v>
      </c>
      <c r="Q374" t="s">
        <v>1204</v>
      </c>
      <c r="R374">
        <v>2027</v>
      </c>
    </row>
    <row r="375" spans="1:18" x14ac:dyDescent="0.3">
      <c r="A375" t="s">
        <v>1205</v>
      </c>
      <c r="B375" t="s">
        <v>19</v>
      </c>
      <c r="C375" t="s">
        <v>1206</v>
      </c>
      <c r="D375" t="s">
        <v>64</v>
      </c>
      <c r="E375" t="s">
        <v>111</v>
      </c>
      <c r="F375" t="s">
        <v>50</v>
      </c>
      <c r="G375" t="s">
        <v>97</v>
      </c>
      <c r="H375" t="s">
        <v>98</v>
      </c>
      <c r="I375" t="s">
        <v>77</v>
      </c>
      <c r="J375" t="s">
        <v>27</v>
      </c>
      <c r="K375" t="s">
        <v>71</v>
      </c>
      <c r="L375" t="s">
        <v>53</v>
      </c>
      <c r="M375">
        <v>9</v>
      </c>
      <c r="N375">
        <v>45253</v>
      </c>
      <c r="O375">
        <v>407277</v>
      </c>
      <c r="P375">
        <v>90220</v>
      </c>
      <c r="Q375" t="s">
        <v>1207</v>
      </c>
      <c r="R375">
        <v>2027</v>
      </c>
    </row>
    <row r="376" spans="1:18" x14ac:dyDescent="0.3">
      <c r="A376" t="s">
        <v>1208</v>
      </c>
      <c r="B376" t="s">
        <v>19</v>
      </c>
      <c r="C376" t="s">
        <v>1209</v>
      </c>
      <c r="D376" t="s">
        <v>33</v>
      </c>
      <c r="E376" t="s">
        <v>82</v>
      </c>
      <c r="F376" t="s">
        <v>50</v>
      </c>
      <c r="G376" t="s">
        <v>116</v>
      </c>
      <c r="H376" t="s">
        <v>84</v>
      </c>
      <c r="I376" t="s">
        <v>26</v>
      </c>
      <c r="J376" t="s">
        <v>52</v>
      </c>
      <c r="K376" t="s">
        <v>28</v>
      </c>
      <c r="L376" t="s">
        <v>125</v>
      </c>
      <c r="M376">
        <v>9</v>
      </c>
      <c r="N376">
        <v>48002</v>
      </c>
      <c r="O376">
        <v>432018</v>
      </c>
      <c r="P376">
        <v>18392</v>
      </c>
      <c r="Q376" t="s">
        <v>1210</v>
      </c>
      <c r="R376">
        <v>2027</v>
      </c>
    </row>
    <row r="377" spans="1:18" x14ac:dyDescent="0.3">
      <c r="A377" t="s">
        <v>1211</v>
      </c>
      <c r="B377" t="s">
        <v>19</v>
      </c>
      <c r="C377" t="s">
        <v>1212</v>
      </c>
      <c r="D377" t="s">
        <v>21</v>
      </c>
      <c r="E377" t="s">
        <v>44</v>
      </c>
      <c r="F377" t="s">
        <v>50</v>
      </c>
      <c r="G377" t="s">
        <v>83</v>
      </c>
      <c r="H377" t="s">
        <v>302</v>
      </c>
      <c r="I377" t="s">
        <v>37</v>
      </c>
      <c r="J377" t="s">
        <v>52</v>
      </c>
      <c r="K377" t="s">
        <v>71</v>
      </c>
      <c r="L377" t="s">
        <v>53</v>
      </c>
      <c r="M377">
        <v>9</v>
      </c>
      <c r="N377">
        <v>32423</v>
      </c>
      <c r="O377">
        <v>291807</v>
      </c>
      <c r="P377">
        <v>129972</v>
      </c>
      <c r="Q377" t="s">
        <v>1213</v>
      </c>
      <c r="R377">
        <v>2027</v>
      </c>
    </row>
    <row r="378" spans="1:18" x14ac:dyDescent="0.3">
      <c r="A378" t="s">
        <v>1214</v>
      </c>
      <c r="B378" t="s">
        <v>19</v>
      </c>
      <c r="C378" t="s">
        <v>1215</v>
      </c>
      <c r="D378" t="s">
        <v>21</v>
      </c>
      <c r="E378" t="s">
        <v>44</v>
      </c>
      <c r="F378" t="s">
        <v>44</v>
      </c>
      <c r="G378" t="s">
        <v>83</v>
      </c>
      <c r="H378" t="s">
        <v>143</v>
      </c>
      <c r="I378" t="s">
        <v>45</v>
      </c>
      <c r="J378" t="s">
        <v>59</v>
      </c>
      <c r="K378" t="s">
        <v>71</v>
      </c>
      <c r="L378" t="s">
        <v>117</v>
      </c>
      <c r="M378">
        <v>7</v>
      </c>
      <c r="N378">
        <v>37442</v>
      </c>
      <c r="O378">
        <v>262094</v>
      </c>
      <c r="P378">
        <v>93107</v>
      </c>
      <c r="Q378" t="s">
        <v>1216</v>
      </c>
      <c r="R378">
        <v>2027</v>
      </c>
    </row>
    <row r="379" spans="1:18" x14ac:dyDescent="0.3">
      <c r="A379" t="s">
        <v>1217</v>
      </c>
      <c r="B379" t="s">
        <v>19</v>
      </c>
      <c r="C379" t="s">
        <v>1218</v>
      </c>
      <c r="D379" t="s">
        <v>21</v>
      </c>
      <c r="E379" t="s">
        <v>82</v>
      </c>
      <c r="F379" t="s">
        <v>34</v>
      </c>
      <c r="G379" t="s">
        <v>89</v>
      </c>
      <c r="H379" t="s">
        <v>376</v>
      </c>
      <c r="I379" t="s">
        <v>45</v>
      </c>
      <c r="J379" t="s">
        <v>52</v>
      </c>
      <c r="K379" t="s">
        <v>78</v>
      </c>
      <c r="L379" t="s">
        <v>66</v>
      </c>
      <c r="M379">
        <v>10</v>
      </c>
      <c r="N379">
        <v>18742</v>
      </c>
      <c r="O379">
        <v>187420</v>
      </c>
      <c r="P379">
        <v>88441</v>
      </c>
      <c r="Q379" t="s">
        <v>1219</v>
      </c>
      <c r="R379">
        <v>2027</v>
      </c>
    </row>
    <row r="380" spans="1:18" x14ac:dyDescent="0.3">
      <c r="A380" t="s">
        <v>1220</v>
      </c>
      <c r="B380" t="s">
        <v>19</v>
      </c>
      <c r="C380" t="s">
        <v>1221</v>
      </c>
      <c r="D380" t="s">
        <v>33</v>
      </c>
      <c r="E380" t="s">
        <v>82</v>
      </c>
      <c r="F380" t="s">
        <v>34</v>
      </c>
      <c r="G380" t="s">
        <v>83</v>
      </c>
      <c r="H380" t="s">
        <v>147</v>
      </c>
      <c r="I380" t="s">
        <v>26</v>
      </c>
      <c r="J380" t="s">
        <v>52</v>
      </c>
      <c r="K380" t="s">
        <v>28</v>
      </c>
      <c r="L380" t="s">
        <v>125</v>
      </c>
      <c r="M380">
        <v>3</v>
      </c>
      <c r="N380">
        <v>36451</v>
      </c>
      <c r="O380">
        <v>109353</v>
      </c>
      <c r="P380">
        <v>103156</v>
      </c>
      <c r="Q380" t="s">
        <v>1222</v>
      </c>
      <c r="R380">
        <v>2027</v>
      </c>
    </row>
    <row r="381" spans="1:18" x14ac:dyDescent="0.3">
      <c r="A381" t="s">
        <v>1223</v>
      </c>
      <c r="B381" t="s">
        <v>19</v>
      </c>
      <c r="C381" t="s">
        <v>1224</v>
      </c>
      <c r="D381" t="s">
        <v>43</v>
      </c>
      <c r="E381" t="s">
        <v>22</v>
      </c>
      <c r="F381" t="s">
        <v>44</v>
      </c>
      <c r="G381" t="s">
        <v>89</v>
      </c>
      <c r="H381" t="s">
        <v>298</v>
      </c>
      <c r="I381" t="s">
        <v>45</v>
      </c>
      <c r="J381" t="s">
        <v>27</v>
      </c>
      <c r="K381" t="s">
        <v>38</v>
      </c>
      <c r="L381" t="s">
        <v>29</v>
      </c>
      <c r="M381">
        <v>4</v>
      </c>
      <c r="N381">
        <v>21037</v>
      </c>
      <c r="O381">
        <v>84148</v>
      </c>
      <c r="P381">
        <v>39020</v>
      </c>
      <c r="Q381" t="s">
        <v>1225</v>
      </c>
      <c r="R381">
        <v>2027</v>
      </c>
    </row>
    <row r="382" spans="1:18" x14ac:dyDescent="0.3">
      <c r="A382" t="s">
        <v>1226</v>
      </c>
      <c r="B382" t="s">
        <v>19</v>
      </c>
      <c r="C382" t="s">
        <v>1227</v>
      </c>
      <c r="D382" t="s">
        <v>33</v>
      </c>
      <c r="E382" t="s">
        <v>111</v>
      </c>
      <c r="F382" t="s">
        <v>23</v>
      </c>
      <c r="G382" t="s">
        <v>102</v>
      </c>
      <c r="H382" t="s">
        <v>232</v>
      </c>
      <c r="I382" t="s">
        <v>26</v>
      </c>
      <c r="J382" t="s">
        <v>52</v>
      </c>
      <c r="K382" t="s">
        <v>38</v>
      </c>
      <c r="L382" t="s">
        <v>39</v>
      </c>
      <c r="M382">
        <v>9</v>
      </c>
      <c r="N382">
        <v>16742</v>
      </c>
      <c r="O382">
        <v>150678</v>
      </c>
      <c r="P382">
        <v>65087</v>
      </c>
      <c r="Q382" t="s">
        <v>1228</v>
      </c>
      <c r="R382">
        <v>2027</v>
      </c>
    </row>
    <row r="383" spans="1:18" x14ac:dyDescent="0.3">
      <c r="A383" t="s">
        <v>1229</v>
      </c>
      <c r="B383" t="s">
        <v>19</v>
      </c>
      <c r="C383" t="s">
        <v>1230</v>
      </c>
      <c r="D383" t="s">
        <v>33</v>
      </c>
      <c r="E383" t="s">
        <v>44</v>
      </c>
      <c r="F383" t="s">
        <v>96</v>
      </c>
      <c r="G383" t="s">
        <v>97</v>
      </c>
      <c r="H383" t="s">
        <v>36</v>
      </c>
      <c r="I383" t="s">
        <v>45</v>
      </c>
      <c r="J383" t="s">
        <v>52</v>
      </c>
      <c r="K383" t="s">
        <v>78</v>
      </c>
      <c r="L383" t="s">
        <v>85</v>
      </c>
      <c r="M383">
        <v>2</v>
      </c>
      <c r="N383">
        <v>33628</v>
      </c>
      <c r="O383">
        <v>67256</v>
      </c>
      <c r="P383">
        <v>132508</v>
      </c>
      <c r="Q383" t="s">
        <v>1231</v>
      </c>
      <c r="R383">
        <v>2027</v>
      </c>
    </row>
    <row r="384" spans="1:18" x14ac:dyDescent="0.3">
      <c r="A384" t="s">
        <v>1232</v>
      </c>
      <c r="B384" t="s">
        <v>19</v>
      </c>
      <c r="C384" t="s">
        <v>1233</v>
      </c>
      <c r="D384" t="s">
        <v>21</v>
      </c>
      <c r="E384" t="s">
        <v>57</v>
      </c>
      <c r="F384" t="s">
        <v>34</v>
      </c>
      <c r="G384" t="s">
        <v>24</v>
      </c>
      <c r="H384" t="s">
        <v>200</v>
      </c>
      <c r="I384" t="s">
        <v>26</v>
      </c>
      <c r="J384" t="s">
        <v>27</v>
      </c>
      <c r="K384" t="s">
        <v>28</v>
      </c>
      <c r="L384" t="s">
        <v>29</v>
      </c>
      <c r="M384">
        <v>8</v>
      </c>
      <c r="N384">
        <v>38405</v>
      </c>
      <c r="O384">
        <v>307240</v>
      </c>
      <c r="P384">
        <v>70898</v>
      </c>
      <c r="Q384" t="s">
        <v>1234</v>
      </c>
      <c r="R384">
        <v>2027</v>
      </c>
    </row>
    <row r="385" spans="1:18" x14ac:dyDescent="0.3">
      <c r="A385" t="s">
        <v>1235</v>
      </c>
      <c r="B385" t="s">
        <v>19</v>
      </c>
      <c r="C385" t="s">
        <v>1236</v>
      </c>
      <c r="D385" t="s">
        <v>21</v>
      </c>
      <c r="E385" t="s">
        <v>44</v>
      </c>
      <c r="F385" t="s">
        <v>44</v>
      </c>
      <c r="G385" t="s">
        <v>35</v>
      </c>
      <c r="H385" t="s">
        <v>36</v>
      </c>
      <c r="I385" t="s">
        <v>26</v>
      </c>
      <c r="J385" t="s">
        <v>27</v>
      </c>
      <c r="K385" t="s">
        <v>78</v>
      </c>
      <c r="L385" t="s">
        <v>117</v>
      </c>
      <c r="M385">
        <v>6</v>
      </c>
      <c r="N385">
        <v>39972</v>
      </c>
      <c r="O385">
        <v>239832</v>
      </c>
      <c r="P385">
        <v>131294</v>
      </c>
      <c r="Q385" t="s">
        <v>1237</v>
      </c>
      <c r="R385">
        <v>2027</v>
      </c>
    </row>
    <row r="386" spans="1:18" x14ac:dyDescent="0.3">
      <c r="A386" t="s">
        <v>1238</v>
      </c>
      <c r="B386" t="s">
        <v>19</v>
      </c>
      <c r="C386" t="s">
        <v>1239</v>
      </c>
      <c r="D386" t="s">
        <v>33</v>
      </c>
      <c r="E386" t="s">
        <v>49</v>
      </c>
      <c r="F386" t="s">
        <v>23</v>
      </c>
      <c r="G386" t="s">
        <v>116</v>
      </c>
      <c r="H386" t="s">
        <v>76</v>
      </c>
      <c r="I386" t="s">
        <v>37</v>
      </c>
      <c r="J386" t="s">
        <v>27</v>
      </c>
      <c r="K386" t="s">
        <v>78</v>
      </c>
      <c r="L386" t="s">
        <v>53</v>
      </c>
      <c r="M386">
        <v>2</v>
      </c>
      <c r="N386">
        <v>47177</v>
      </c>
      <c r="O386">
        <v>94354</v>
      </c>
      <c r="P386">
        <v>89166</v>
      </c>
      <c r="Q386" t="s">
        <v>1240</v>
      </c>
      <c r="R386">
        <v>2027</v>
      </c>
    </row>
    <row r="387" spans="1:18" x14ac:dyDescent="0.3">
      <c r="A387" t="s">
        <v>1241</v>
      </c>
      <c r="B387" t="s">
        <v>19</v>
      </c>
      <c r="C387" t="s">
        <v>1242</v>
      </c>
      <c r="D387" t="s">
        <v>21</v>
      </c>
      <c r="E387" t="s">
        <v>57</v>
      </c>
      <c r="F387" t="s">
        <v>75</v>
      </c>
      <c r="G387" t="s">
        <v>24</v>
      </c>
      <c r="H387" t="s">
        <v>76</v>
      </c>
      <c r="I387" t="s">
        <v>45</v>
      </c>
      <c r="J387" t="s">
        <v>59</v>
      </c>
      <c r="K387" t="s">
        <v>71</v>
      </c>
      <c r="L387" t="s">
        <v>85</v>
      </c>
      <c r="M387">
        <v>8</v>
      </c>
      <c r="N387">
        <v>49855</v>
      </c>
      <c r="O387">
        <v>398840</v>
      </c>
      <c r="P387">
        <v>58474</v>
      </c>
      <c r="Q387" t="s">
        <v>1243</v>
      </c>
      <c r="R387">
        <v>2027</v>
      </c>
    </row>
    <row r="388" spans="1:18" x14ac:dyDescent="0.3">
      <c r="A388" t="s">
        <v>1244</v>
      </c>
      <c r="B388" t="s">
        <v>19</v>
      </c>
      <c r="C388" t="s">
        <v>1245</v>
      </c>
      <c r="D388" t="s">
        <v>21</v>
      </c>
      <c r="E388" t="s">
        <v>22</v>
      </c>
      <c r="F388" t="s">
        <v>34</v>
      </c>
      <c r="G388" t="s">
        <v>24</v>
      </c>
      <c r="H388" t="s">
        <v>84</v>
      </c>
      <c r="I388" t="s">
        <v>26</v>
      </c>
      <c r="J388" t="s">
        <v>52</v>
      </c>
      <c r="K388" t="s">
        <v>71</v>
      </c>
      <c r="L388" t="s">
        <v>29</v>
      </c>
      <c r="M388">
        <v>7</v>
      </c>
      <c r="N388">
        <v>36113</v>
      </c>
      <c r="O388">
        <v>252791</v>
      </c>
      <c r="P388">
        <v>138044</v>
      </c>
      <c r="Q388" t="s">
        <v>1246</v>
      </c>
      <c r="R388">
        <v>2027</v>
      </c>
    </row>
    <row r="389" spans="1:18" x14ac:dyDescent="0.3">
      <c r="A389" t="s">
        <v>1247</v>
      </c>
      <c r="B389" t="s">
        <v>19</v>
      </c>
      <c r="C389" t="s">
        <v>1248</v>
      </c>
      <c r="D389" t="s">
        <v>21</v>
      </c>
      <c r="E389" t="s">
        <v>82</v>
      </c>
      <c r="F389" t="s">
        <v>44</v>
      </c>
      <c r="G389" t="s">
        <v>116</v>
      </c>
      <c r="H389" t="s">
        <v>103</v>
      </c>
      <c r="I389" t="s">
        <v>26</v>
      </c>
      <c r="J389" t="s">
        <v>52</v>
      </c>
      <c r="K389" t="s">
        <v>38</v>
      </c>
      <c r="L389" t="s">
        <v>125</v>
      </c>
      <c r="M389">
        <v>8</v>
      </c>
      <c r="N389">
        <v>23366</v>
      </c>
      <c r="O389">
        <v>186928</v>
      </c>
      <c r="P389">
        <v>115406</v>
      </c>
      <c r="Q389" t="s">
        <v>1249</v>
      </c>
      <c r="R389">
        <v>2027</v>
      </c>
    </row>
    <row r="390" spans="1:18" x14ac:dyDescent="0.3">
      <c r="A390" t="s">
        <v>1250</v>
      </c>
      <c r="B390" t="s">
        <v>19</v>
      </c>
      <c r="C390" t="s">
        <v>1251</v>
      </c>
      <c r="D390" t="s">
        <v>43</v>
      </c>
      <c r="E390" t="s">
        <v>111</v>
      </c>
      <c r="F390" t="s">
        <v>50</v>
      </c>
      <c r="G390" t="s">
        <v>35</v>
      </c>
      <c r="H390" t="s">
        <v>58</v>
      </c>
      <c r="I390" t="s">
        <v>45</v>
      </c>
      <c r="J390" t="s">
        <v>52</v>
      </c>
      <c r="K390" t="s">
        <v>28</v>
      </c>
      <c r="L390" t="s">
        <v>60</v>
      </c>
      <c r="M390">
        <v>5</v>
      </c>
      <c r="N390">
        <v>40614</v>
      </c>
      <c r="O390">
        <v>203070</v>
      </c>
      <c r="P390">
        <v>77273</v>
      </c>
      <c r="Q390" t="s">
        <v>1252</v>
      </c>
      <c r="R390">
        <v>2027</v>
      </c>
    </row>
    <row r="391" spans="1:18" x14ac:dyDescent="0.3">
      <c r="A391" t="s">
        <v>1253</v>
      </c>
      <c r="B391" t="s">
        <v>19</v>
      </c>
      <c r="C391" t="s">
        <v>1254</v>
      </c>
      <c r="D391" t="s">
        <v>33</v>
      </c>
      <c r="E391" t="s">
        <v>57</v>
      </c>
      <c r="F391" t="s">
        <v>34</v>
      </c>
      <c r="G391" t="s">
        <v>83</v>
      </c>
      <c r="H391" t="s">
        <v>376</v>
      </c>
      <c r="I391" t="s">
        <v>45</v>
      </c>
      <c r="J391" t="s">
        <v>27</v>
      </c>
      <c r="K391" t="s">
        <v>78</v>
      </c>
      <c r="L391" t="s">
        <v>60</v>
      </c>
      <c r="M391">
        <v>2</v>
      </c>
      <c r="N391">
        <v>11392</v>
      </c>
      <c r="O391">
        <v>22784</v>
      </c>
      <c r="P391">
        <v>59875</v>
      </c>
      <c r="Q391" t="s">
        <v>1255</v>
      </c>
      <c r="R391">
        <v>2027</v>
      </c>
    </row>
    <row r="392" spans="1:18" x14ac:dyDescent="0.3">
      <c r="A392" t="s">
        <v>1256</v>
      </c>
      <c r="B392" t="s">
        <v>19</v>
      </c>
      <c r="C392" t="s">
        <v>1257</v>
      </c>
      <c r="D392" t="s">
        <v>33</v>
      </c>
      <c r="E392" t="s">
        <v>49</v>
      </c>
      <c r="F392" t="s">
        <v>44</v>
      </c>
      <c r="G392" t="s">
        <v>116</v>
      </c>
      <c r="H392" t="s">
        <v>200</v>
      </c>
      <c r="I392" t="s">
        <v>26</v>
      </c>
      <c r="J392" t="s">
        <v>59</v>
      </c>
      <c r="K392" t="s">
        <v>38</v>
      </c>
      <c r="L392" t="s">
        <v>85</v>
      </c>
      <c r="M392">
        <v>6</v>
      </c>
      <c r="N392">
        <v>8091</v>
      </c>
      <c r="O392">
        <v>48546</v>
      </c>
      <c r="P392">
        <v>75653</v>
      </c>
      <c r="Q392" t="s">
        <v>1258</v>
      </c>
      <c r="R392">
        <v>2027</v>
      </c>
    </row>
    <row r="393" spans="1:18" x14ac:dyDescent="0.3">
      <c r="A393" t="s">
        <v>1259</v>
      </c>
      <c r="B393" t="s">
        <v>19</v>
      </c>
      <c r="C393" t="s">
        <v>1260</v>
      </c>
      <c r="D393" t="s">
        <v>43</v>
      </c>
      <c r="E393" t="s">
        <v>57</v>
      </c>
      <c r="F393" t="s">
        <v>75</v>
      </c>
      <c r="G393" t="s">
        <v>35</v>
      </c>
      <c r="H393" t="s">
        <v>200</v>
      </c>
      <c r="I393" t="s">
        <v>26</v>
      </c>
      <c r="J393" t="s">
        <v>27</v>
      </c>
      <c r="K393" t="s">
        <v>78</v>
      </c>
      <c r="L393" t="s">
        <v>85</v>
      </c>
      <c r="M393">
        <v>5</v>
      </c>
      <c r="N393">
        <v>48445</v>
      </c>
      <c r="O393">
        <v>242225</v>
      </c>
      <c r="P393">
        <v>45778</v>
      </c>
      <c r="Q393" t="s">
        <v>1261</v>
      </c>
      <c r="R393">
        <v>2027</v>
      </c>
    </row>
    <row r="394" spans="1:18" x14ac:dyDescent="0.3">
      <c r="A394" t="s">
        <v>1262</v>
      </c>
      <c r="B394" t="s">
        <v>19</v>
      </c>
      <c r="C394" t="s">
        <v>1263</v>
      </c>
      <c r="D394" t="s">
        <v>21</v>
      </c>
      <c r="E394" t="s">
        <v>22</v>
      </c>
      <c r="F394" t="s">
        <v>96</v>
      </c>
      <c r="G394" t="s">
        <v>112</v>
      </c>
      <c r="H394" t="s">
        <v>309</v>
      </c>
      <c r="I394" t="s">
        <v>26</v>
      </c>
      <c r="J394" t="s">
        <v>27</v>
      </c>
      <c r="K394" t="s">
        <v>38</v>
      </c>
      <c r="L394" t="s">
        <v>85</v>
      </c>
      <c r="M394">
        <v>1</v>
      </c>
      <c r="N394">
        <v>42709</v>
      </c>
      <c r="O394">
        <v>42709</v>
      </c>
      <c r="P394">
        <v>68257</v>
      </c>
      <c r="Q394" t="s">
        <v>1264</v>
      </c>
      <c r="R394">
        <v>2027</v>
      </c>
    </row>
    <row r="395" spans="1:18" x14ac:dyDescent="0.3">
      <c r="A395" t="s">
        <v>1265</v>
      </c>
      <c r="B395" t="s">
        <v>19</v>
      </c>
      <c r="C395" t="s">
        <v>1266</v>
      </c>
      <c r="D395" t="s">
        <v>43</v>
      </c>
      <c r="E395" t="s">
        <v>111</v>
      </c>
      <c r="F395" t="s">
        <v>34</v>
      </c>
      <c r="G395" t="s">
        <v>35</v>
      </c>
      <c r="H395" t="s">
        <v>129</v>
      </c>
      <c r="I395" t="s">
        <v>77</v>
      </c>
      <c r="J395" t="s">
        <v>59</v>
      </c>
      <c r="K395" t="s">
        <v>78</v>
      </c>
      <c r="L395" t="s">
        <v>39</v>
      </c>
      <c r="M395">
        <v>1</v>
      </c>
      <c r="N395">
        <v>16451</v>
      </c>
      <c r="O395">
        <v>16451</v>
      </c>
      <c r="P395">
        <v>19135</v>
      </c>
      <c r="Q395" t="s">
        <v>1267</v>
      </c>
      <c r="R395">
        <v>2027</v>
      </c>
    </row>
    <row r="396" spans="1:18" x14ac:dyDescent="0.3">
      <c r="A396" t="s">
        <v>1268</v>
      </c>
      <c r="B396" t="s">
        <v>19</v>
      </c>
      <c r="C396" t="s">
        <v>1269</v>
      </c>
      <c r="D396" t="s">
        <v>43</v>
      </c>
      <c r="E396" t="s">
        <v>49</v>
      </c>
      <c r="F396" t="s">
        <v>96</v>
      </c>
      <c r="G396" t="s">
        <v>35</v>
      </c>
      <c r="H396" t="s">
        <v>103</v>
      </c>
      <c r="I396" t="s">
        <v>77</v>
      </c>
      <c r="J396" t="s">
        <v>59</v>
      </c>
      <c r="K396" t="s">
        <v>78</v>
      </c>
      <c r="L396" t="s">
        <v>85</v>
      </c>
      <c r="M396">
        <v>7</v>
      </c>
      <c r="N396">
        <v>1552</v>
      </c>
      <c r="O396">
        <v>10864</v>
      </c>
      <c r="P396">
        <v>44747</v>
      </c>
      <c r="Q396" t="s">
        <v>1270</v>
      </c>
      <c r="R396">
        <v>2027</v>
      </c>
    </row>
    <row r="397" spans="1:18" x14ac:dyDescent="0.3">
      <c r="A397" t="s">
        <v>1271</v>
      </c>
      <c r="B397" t="s">
        <v>19</v>
      </c>
      <c r="C397" t="s">
        <v>1272</v>
      </c>
      <c r="D397" t="s">
        <v>21</v>
      </c>
      <c r="E397" t="s">
        <v>57</v>
      </c>
      <c r="F397" t="s">
        <v>34</v>
      </c>
      <c r="G397" t="s">
        <v>83</v>
      </c>
      <c r="H397" t="s">
        <v>309</v>
      </c>
      <c r="I397" t="s">
        <v>26</v>
      </c>
      <c r="J397" t="s">
        <v>59</v>
      </c>
      <c r="K397" t="s">
        <v>78</v>
      </c>
      <c r="L397" t="s">
        <v>60</v>
      </c>
      <c r="M397">
        <v>8</v>
      </c>
      <c r="N397">
        <v>45654</v>
      </c>
      <c r="O397">
        <v>365232</v>
      </c>
      <c r="P397">
        <v>135743</v>
      </c>
      <c r="Q397" t="s">
        <v>1273</v>
      </c>
      <c r="R397">
        <v>2027</v>
      </c>
    </row>
    <row r="398" spans="1:18" x14ac:dyDescent="0.3">
      <c r="A398" t="s">
        <v>1274</v>
      </c>
      <c r="B398" t="s">
        <v>172</v>
      </c>
      <c r="C398" t="s">
        <v>1275</v>
      </c>
      <c r="D398" t="s">
        <v>33</v>
      </c>
      <c r="E398" t="s">
        <v>57</v>
      </c>
      <c r="F398" t="s">
        <v>23</v>
      </c>
      <c r="G398" t="s">
        <v>116</v>
      </c>
      <c r="H398" t="s">
        <v>204</v>
      </c>
      <c r="I398" t="s">
        <v>26</v>
      </c>
      <c r="J398" t="s">
        <v>27</v>
      </c>
      <c r="K398" t="s">
        <v>78</v>
      </c>
      <c r="L398" t="s">
        <v>60</v>
      </c>
      <c r="M398">
        <v>2</v>
      </c>
      <c r="N398">
        <v>15852</v>
      </c>
      <c r="O398">
        <v>31704</v>
      </c>
      <c r="P398">
        <v>29033</v>
      </c>
      <c r="Q398" t="s">
        <v>1276</v>
      </c>
      <c r="R398">
        <v>2027</v>
      </c>
    </row>
    <row r="399" spans="1:18" x14ac:dyDescent="0.3">
      <c r="A399" t="s">
        <v>1277</v>
      </c>
      <c r="B399" t="s">
        <v>172</v>
      </c>
      <c r="C399" t="s">
        <v>1278</v>
      </c>
      <c r="D399" t="s">
        <v>33</v>
      </c>
      <c r="E399" t="s">
        <v>82</v>
      </c>
      <c r="F399" t="s">
        <v>34</v>
      </c>
      <c r="G399" t="s">
        <v>89</v>
      </c>
      <c r="H399" t="s">
        <v>129</v>
      </c>
      <c r="I399" t="s">
        <v>26</v>
      </c>
      <c r="J399" t="s">
        <v>27</v>
      </c>
      <c r="K399" t="s">
        <v>78</v>
      </c>
      <c r="L399" t="s">
        <v>85</v>
      </c>
      <c r="M399">
        <v>5</v>
      </c>
      <c r="N399">
        <v>46241</v>
      </c>
      <c r="O399">
        <v>231205</v>
      </c>
      <c r="P399">
        <v>22696</v>
      </c>
      <c r="Q399" t="s">
        <v>1279</v>
      </c>
      <c r="R399">
        <v>2027</v>
      </c>
    </row>
    <row r="400" spans="1:18" x14ac:dyDescent="0.3">
      <c r="A400" t="s">
        <v>1280</v>
      </c>
      <c r="B400" t="s">
        <v>172</v>
      </c>
      <c r="C400" t="s">
        <v>1281</v>
      </c>
      <c r="D400" t="s">
        <v>21</v>
      </c>
      <c r="E400" t="s">
        <v>57</v>
      </c>
      <c r="F400" t="s">
        <v>23</v>
      </c>
      <c r="G400" t="s">
        <v>116</v>
      </c>
      <c r="H400" t="s">
        <v>211</v>
      </c>
      <c r="I400" t="s">
        <v>37</v>
      </c>
      <c r="J400" t="s">
        <v>59</v>
      </c>
      <c r="K400" t="s">
        <v>28</v>
      </c>
      <c r="L400" t="s">
        <v>53</v>
      </c>
      <c r="M400">
        <v>3</v>
      </c>
      <c r="N400">
        <v>25403</v>
      </c>
      <c r="O400">
        <v>76209</v>
      </c>
      <c r="P400">
        <v>116052</v>
      </c>
      <c r="Q400" t="s">
        <v>1282</v>
      </c>
      <c r="R400">
        <v>2027</v>
      </c>
    </row>
    <row r="401" spans="1:18" x14ac:dyDescent="0.3">
      <c r="A401" t="s">
        <v>1283</v>
      </c>
      <c r="B401" t="s">
        <v>172</v>
      </c>
      <c r="C401" t="s">
        <v>1284</v>
      </c>
      <c r="D401" t="s">
        <v>33</v>
      </c>
      <c r="E401" t="s">
        <v>22</v>
      </c>
      <c r="F401" t="s">
        <v>44</v>
      </c>
      <c r="G401" t="s">
        <v>97</v>
      </c>
      <c r="H401" t="s">
        <v>376</v>
      </c>
      <c r="I401" t="s">
        <v>26</v>
      </c>
      <c r="J401" t="s">
        <v>52</v>
      </c>
      <c r="K401" t="s">
        <v>71</v>
      </c>
      <c r="L401" t="s">
        <v>85</v>
      </c>
      <c r="M401">
        <v>6</v>
      </c>
      <c r="N401">
        <v>47457</v>
      </c>
      <c r="O401">
        <v>284742</v>
      </c>
      <c r="P401">
        <v>84336</v>
      </c>
      <c r="Q401" t="s">
        <v>395</v>
      </c>
      <c r="R401">
        <v>2027</v>
      </c>
    </row>
    <row r="402" spans="1:18" x14ac:dyDescent="0.3">
      <c r="A402" t="s">
        <v>1285</v>
      </c>
      <c r="B402" t="s">
        <v>172</v>
      </c>
      <c r="C402" t="s">
        <v>1286</v>
      </c>
      <c r="D402" t="s">
        <v>64</v>
      </c>
      <c r="E402" t="s">
        <v>82</v>
      </c>
      <c r="F402" t="s">
        <v>34</v>
      </c>
      <c r="G402" t="s">
        <v>35</v>
      </c>
      <c r="H402" t="s">
        <v>218</v>
      </c>
      <c r="I402" t="s">
        <v>37</v>
      </c>
      <c r="J402" t="s">
        <v>52</v>
      </c>
      <c r="K402" t="s">
        <v>78</v>
      </c>
      <c r="L402" t="s">
        <v>60</v>
      </c>
      <c r="M402">
        <v>7</v>
      </c>
      <c r="N402">
        <v>44954</v>
      </c>
      <c r="O402">
        <v>314678</v>
      </c>
      <c r="P402">
        <v>63288</v>
      </c>
      <c r="Q402" t="s">
        <v>1287</v>
      </c>
      <c r="R402">
        <v>2027</v>
      </c>
    </row>
    <row r="403" spans="1:18" x14ac:dyDescent="0.3">
      <c r="A403" t="s">
        <v>1288</v>
      </c>
      <c r="B403" t="s">
        <v>172</v>
      </c>
      <c r="C403" t="s">
        <v>1289</v>
      </c>
      <c r="D403" t="s">
        <v>21</v>
      </c>
      <c r="E403" t="s">
        <v>22</v>
      </c>
      <c r="F403" t="s">
        <v>34</v>
      </c>
      <c r="G403" t="s">
        <v>102</v>
      </c>
      <c r="H403" t="s">
        <v>279</v>
      </c>
      <c r="I403" t="s">
        <v>77</v>
      </c>
      <c r="J403" t="s">
        <v>52</v>
      </c>
      <c r="K403" t="s">
        <v>38</v>
      </c>
      <c r="L403" t="s">
        <v>29</v>
      </c>
      <c r="M403">
        <v>8</v>
      </c>
      <c r="N403">
        <v>20909</v>
      </c>
      <c r="O403">
        <v>167272</v>
      </c>
      <c r="P403">
        <v>87038</v>
      </c>
      <c r="Q403" t="s">
        <v>1290</v>
      </c>
      <c r="R403">
        <v>2027</v>
      </c>
    </row>
    <row r="404" spans="1:18" x14ac:dyDescent="0.3">
      <c r="A404" t="s">
        <v>1291</v>
      </c>
      <c r="B404" t="s">
        <v>172</v>
      </c>
      <c r="C404" t="s">
        <v>1292</v>
      </c>
      <c r="D404" t="s">
        <v>21</v>
      </c>
      <c r="E404" t="s">
        <v>57</v>
      </c>
      <c r="F404" t="s">
        <v>23</v>
      </c>
      <c r="G404" t="s">
        <v>35</v>
      </c>
      <c r="H404" t="s">
        <v>279</v>
      </c>
      <c r="I404" t="s">
        <v>77</v>
      </c>
      <c r="J404" t="s">
        <v>59</v>
      </c>
      <c r="K404" t="s">
        <v>71</v>
      </c>
      <c r="L404" t="s">
        <v>39</v>
      </c>
      <c r="M404">
        <v>6</v>
      </c>
      <c r="N404">
        <v>41190</v>
      </c>
      <c r="O404">
        <v>247140</v>
      </c>
      <c r="P404">
        <v>95893</v>
      </c>
      <c r="Q404" t="s">
        <v>1293</v>
      </c>
      <c r="R404">
        <v>2027</v>
      </c>
    </row>
    <row r="405" spans="1:18" x14ac:dyDescent="0.3">
      <c r="A405" t="s">
        <v>1294</v>
      </c>
      <c r="B405" t="s">
        <v>172</v>
      </c>
      <c r="C405" t="s">
        <v>1295</v>
      </c>
      <c r="D405" t="s">
        <v>43</v>
      </c>
      <c r="E405" t="s">
        <v>82</v>
      </c>
      <c r="F405" t="s">
        <v>96</v>
      </c>
      <c r="G405" t="s">
        <v>112</v>
      </c>
      <c r="H405" t="s">
        <v>103</v>
      </c>
      <c r="I405" t="s">
        <v>45</v>
      </c>
      <c r="J405" t="s">
        <v>59</v>
      </c>
      <c r="K405" t="s">
        <v>78</v>
      </c>
      <c r="L405" t="s">
        <v>60</v>
      </c>
      <c r="M405">
        <v>9</v>
      </c>
      <c r="N405">
        <v>48843</v>
      </c>
      <c r="O405">
        <v>439587</v>
      </c>
      <c r="P405">
        <v>131397</v>
      </c>
      <c r="Q405" t="s">
        <v>1296</v>
      </c>
      <c r="R405">
        <v>2027</v>
      </c>
    </row>
    <row r="406" spans="1:18" x14ac:dyDescent="0.3">
      <c r="A406" t="s">
        <v>1297</v>
      </c>
      <c r="B406" t="s">
        <v>172</v>
      </c>
      <c r="C406" t="s">
        <v>1298</v>
      </c>
      <c r="D406" t="s">
        <v>33</v>
      </c>
      <c r="E406" t="s">
        <v>44</v>
      </c>
      <c r="F406" t="s">
        <v>50</v>
      </c>
      <c r="G406" t="s">
        <v>112</v>
      </c>
      <c r="H406" t="s">
        <v>211</v>
      </c>
      <c r="I406" t="s">
        <v>26</v>
      </c>
      <c r="J406" t="s">
        <v>59</v>
      </c>
      <c r="K406" t="s">
        <v>28</v>
      </c>
      <c r="L406" t="s">
        <v>39</v>
      </c>
      <c r="M406">
        <v>2</v>
      </c>
      <c r="N406">
        <v>7674</v>
      </c>
      <c r="O406">
        <v>15348</v>
      </c>
      <c r="P406">
        <v>68396</v>
      </c>
      <c r="Q406" t="s">
        <v>1299</v>
      </c>
      <c r="R406">
        <v>2027</v>
      </c>
    </row>
    <row r="407" spans="1:18" x14ac:dyDescent="0.3">
      <c r="A407" t="s">
        <v>1300</v>
      </c>
      <c r="B407" t="s">
        <v>172</v>
      </c>
      <c r="C407" t="s">
        <v>1301</v>
      </c>
      <c r="D407" t="s">
        <v>64</v>
      </c>
      <c r="E407" t="s">
        <v>22</v>
      </c>
      <c r="F407" t="s">
        <v>96</v>
      </c>
      <c r="G407" t="s">
        <v>102</v>
      </c>
      <c r="H407" t="s">
        <v>76</v>
      </c>
      <c r="I407" t="s">
        <v>37</v>
      </c>
      <c r="J407" t="s">
        <v>52</v>
      </c>
      <c r="K407" t="s">
        <v>38</v>
      </c>
      <c r="L407" t="s">
        <v>85</v>
      </c>
      <c r="M407">
        <v>5</v>
      </c>
      <c r="N407">
        <v>23038</v>
      </c>
      <c r="O407">
        <v>115190</v>
      </c>
      <c r="P407">
        <v>121673</v>
      </c>
      <c r="Q407" t="s">
        <v>544</v>
      </c>
      <c r="R407">
        <v>2027</v>
      </c>
    </row>
    <row r="408" spans="1:18" x14ac:dyDescent="0.3">
      <c r="A408" t="s">
        <v>1302</v>
      </c>
      <c r="B408" t="s">
        <v>172</v>
      </c>
      <c r="C408" t="s">
        <v>1303</v>
      </c>
      <c r="D408" t="s">
        <v>33</v>
      </c>
      <c r="E408" t="s">
        <v>82</v>
      </c>
      <c r="F408" t="s">
        <v>75</v>
      </c>
      <c r="G408" t="s">
        <v>102</v>
      </c>
      <c r="H408" t="s">
        <v>76</v>
      </c>
      <c r="I408" t="s">
        <v>77</v>
      </c>
      <c r="J408" t="s">
        <v>27</v>
      </c>
      <c r="K408" t="s">
        <v>38</v>
      </c>
      <c r="L408" t="s">
        <v>60</v>
      </c>
      <c r="M408">
        <v>10</v>
      </c>
      <c r="N408">
        <v>36190</v>
      </c>
      <c r="O408">
        <v>361900</v>
      </c>
      <c r="P408">
        <v>122999</v>
      </c>
      <c r="Q408" t="s">
        <v>1304</v>
      </c>
      <c r="R408">
        <v>2027</v>
      </c>
    </row>
    <row r="409" spans="1:18" x14ac:dyDescent="0.3">
      <c r="A409" t="s">
        <v>1305</v>
      </c>
      <c r="B409" t="s">
        <v>172</v>
      </c>
      <c r="C409" t="s">
        <v>1306</v>
      </c>
      <c r="D409" t="s">
        <v>43</v>
      </c>
      <c r="E409" t="s">
        <v>22</v>
      </c>
      <c r="F409" t="s">
        <v>34</v>
      </c>
      <c r="G409" t="s">
        <v>97</v>
      </c>
      <c r="H409" t="s">
        <v>200</v>
      </c>
      <c r="I409" t="s">
        <v>26</v>
      </c>
      <c r="J409" t="s">
        <v>52</v>
      </c>
      <c r="K409" t="s">
        <v>78</v>
      </c>
      <c r="L409" t="s">
        <v>60</v>
      </c>
      <c r="M409">
        <v>7</v>
      </c>
      <c r="N409">
        <v>23743</v>
      </c>
      <c r="O409">
        <v>166201</v>
      </c>
      <c r="P409">
        <v>98795</v>
      </c>
      <c r="Q409" t="s">
        <v>1307</v>
      </c>
      <c r="R409">
        <v>2027</v>
      </c>
    </row>
    <row r="410" spans="1:18" x14ac:dyDescent="0.3">
      <c r="A410" t="s">
        <v>1308</v>
      </c>
      <c r="B410" t="s">
        <v>172</v>
      </c>
      <c r="C410" t="s">
        <v>1309</v>
      </c>
      <c r="D410" t="s">
        <v>33</v>
      </c>
      <c r="E410" t="s">
        <v>111</v>
      </c>
      <c r="F410" t="s">
        <v>75</v>
      </c>
      <c r="G410" t="s">
        <v>35</v>
      </c>
      <c r="H410" t="s">
        <v>154</v>
      </c>
      <c r="I410" t="s">
        <v>37</v>
      </c>
      <c r="J410" t="s">
        <v>27</v>
      </c>
      <c r="K410" t="s">
        <v>28</v>
      </c>
      <c r="L410" t="s">
        <v>117</v>
      </c>
      <c r="M410">
        <v>3</v>
      </c>
      <c r="N410">
        <v>34071</v>
      </c>
      <c r="O410">
        <v>102213</v>
      </c>
      <c r="P410">
        <v>129156</v>
      </c>
      <c r="Q410" t="s">
        <v>1310</v>
      </c>
      <c r="R410">
        <v>2027</v>
      </c>
    </row>
    <row r="411" spans="1:18" x14ac:dyDescent="0.3">
      <c r="A411" t="s">
        <v>1311</v>
      </c>
      <c r="B411" t="s">
        <v>172</v>
      </c>
      <c r="C411" t="s">
        <v>1312</v>
      </c>
      <c r="D411" t="s">
        <v>21</v>
      </c>
      <c r="E411" t="s">
        <v>82</v>
      </c>
      <c r="F411" t="s">
        <v>44</v>
      </c>
      <c r="G411" t="s">
        <v>83</v>
      </c>
      <c r="H411" t="s">
        <v>65</v>
      </c>
      <c r="I411" t="s">
        <v>26</v>
      </c>
      <c r="J411" t="s">
        <v>59</v>
      </c>
      <c r="K411" t="s">
        <v>38</v>
      </c>
      <c r="L411" t="s">
        <v>29</v>
      </c>
      <c r="M411">
        <v>7</v>
      </c>
      <c r="N411">
        <v>28897</v>
      </c>
      <c r="O411">
        <v>202279</v>
      </c>
      <c r="P411">
        <v>77587</v>
      </c>
      <c r="Q411" t="s">
        <v>1313</v>
      </c>
      <c r="R411">
        <v>2027</v>
      </c>
    </row>
    <row r="412" spans="1:18" x14ac:dyDescent="0.3">
      <c r="A412" t="s">
        <v>1314</v>
      </c>
      <c r="B412" t="s">
        <v>172</v>
      </c>
      <c r="C412" t="s">
        <v>1315</v>
      </c>
      <c r="D412" t="s">
        <v>43</v>
      </c>
      <c r="E412" t="s">
        <v>22</v>
      </c>
      <c r="F412" t="s">
        <v>34</v>
      </c>
      <c r="G412" t="s">
        <v>97</v>
      </c>
      <c r="H412" t="s">
        <v>279</v>
      </c>
      <c r="I412" t="s">
        <v>77</v>
      </c>
      <c r="J412" t="s">
        <v>59</v>
      </c>
      <c r="K412" t="s">
        <v>71</v>
      </c>
      <c r="L412" t="s">
        <v>29</v>
      </c>
      <c r="M412">
        <v>9</v>
      </c>
      <c r="N412">
        <v>28058</v>
      </c>
      <c r="O412">
        <v>252522</v>
      </c>
      <c r="P412">
        <v>64617</v>
      </c>
      <c r="Q412" t="s">
        <v>1316</v>
      </c>
      <c r="R412">
        <v>2027</v>
      </c>
    </row>
    <row r="413" spans="1:18" x14ac:dyDescent="0.3">
      <c r="A413" t="s">
        <v>1317</v>
      </c>
      <c r="B413" t="s">
        <v>172</v>
      </c>
      <c r="C413" t="s">
        <v>1318</v>
      </c>
      <c r="D413" t="s">
        <v>64</v>
      </c>
      <c r="E413" t="s">
        <v>82</v>
      </c>
      <c r="F413" t="s">
        <v>96</v>
      </c>
      <c r="G413" t="s">
        <v>24</v>
      </c>
      <c r="H413" t="s">
        <v>184</v>
      </c>
      <c r="I413" t="s">
        <v>45</v>
      </c>
      <c r="J413" t="s">
        <v>27</v>
      </c>
      <c r="K413" t="s">
        <v>28</v>
      </c>
      <c r="L413" t="s">
        <v>66</v>
      </c>
      <c r="M413">
        <v>3</v>
      </c>
      <c r="N413">
        <v>36086</v>
      </c>
      <c r="O413">
        <v>108258</v>
      </c>
      <c r="P413">
        <v>42602</v>
      </c>
      <c r="Q413" t="s">
        <v>1319</v>
      </c>
      <c r="R413">
        <v>2027</v>
      </c>
    </row>
    <row r="414" spans="1:18" x14ac:dyDescent="0.3">
      <c r="A414" t="s">
        <v>1320</v>
      </c>
      <c r="B414" t="s">
        <v>172</v>
      </c>
      <c r="C414" t="s">
        <v>1321</v>
      </c>
      <c r="D414" t="s">
        <v>64</v>
      </c>
      <c r="E414" t="s">
        <v>49</v>
      </c>
      <c r="F414" t="s">
        <v>96</v>
      </c>
      <c r="G414" t="s">
        <v>97</v>
      </c>
      <c r="H414" t="s">
        <v>200</v>
      </c>
      <c r="I414" t="s">
        <v>37</v>
      </c>
      <c r="J414" t="s">
        <v>27</v>
      </c>
      <c r="K414" t="s">
        <v>78</v>
      </c>
      <c r="L414" t="s">
        <v>125</v>
      </c>
      <c r="M414">
        <v>8</v>
      </c>
      <c r="N414">
        <v>18407</v>
      </c>
      <c r="O414">
        <v>147256</v>
      </c>
      <c r="P414">
        <v>121283</v>
      </c>
      <c r="Q414" t="s">
        <v>1322</v>
      </c>
      <c r="R414">
        <v>2027</v>
      </c>
    </row>
    <row r="415" spans="1:18" x14ac:dyDescent="0.3">
      <c r="A415" t="s">
        <v>1323</v>
      </c>
      <c r="B415" t="s">
        <v>172</v>
      </c>
      <c r="C415" t="s">
        <v>1324</v>
      </c>
      <c r="D415" t="s">
        <v>64</v>
      </c>
      <c r="E415" t="s">
        <v>57</v>
      </c>
      <c r="F415" t="s">
        <v>44</v>
      </c>
      <c r="G415" t="s">
        <v>83</v>
      </c>
      <c r="H415" t="s">
        <v>121</v>
      </c>
      <c r="I415" t="s">
        <v>37</v>
      </c>
      <c r="J415" t="s">
        <v>52</v>
      </c>
      <c r="K415" t="s">
        <v>78</v>
      </c>
      <c r="L415" t="s">
        <v>53</v>
      </c>
      <c r="M415">
        <v>10</v>
      </c>
      <c r="N415">
        <v>30368</v>
      </c>
      <c r="O415">
        <v>303680</v>
      </c>
      <c r="P415">
        <v>82970</v>
      </c>
      <c r="Q415" t="s">
        <v>1325</v>
      </c>
      <c r="R415">
        <v>2027</v>
      </c>
    </row>
    <row r="416" spans="1:18" x14ac:dyDescent="0.3">
      <c r="A416" t="s">
        <v>1326</v>
      </c>
      <c r="B416" t="s">
        <v>172</v>
      </c>
      <c r="C416" t="s">
        <v>1327</v>
      </c>
      <c r="D416" t="s">
        <v>33</v>
      </c>
      <c r="E416" t="s">
        <v>82</v>
      </c>
      <c r="F416" t="s">
        <v>44</v>
      </c>
      <c r="G416" t="s">
        <v>112</v>
      </c>
      <c r="H416" t="s">
        <v>76</v>
      </c>
      <c r="I416" t="s">
        <v>77</v>
      </c>
      <c r="J416" t="s">
        <v>52</v>
      </c>
      <c r="K416" t="s">
        <v>28</v>
      </c>
      <c r="L416" t="s">
        <v>53</v>
      </c>
      <c r="M416">
        <v>3</v>
      </c>
      <c r="N416">
        <v>39474</v>
      </c>
      <c r="O416">
        <v>118422</v>
      </c>
      <c r="P416">
        <v>85171</v>
      </c>
      <c r="Q416" t="s">
        <v>1156</v>
      </c>
      <c r="R416">
        <v>2027</v>
      </c>
    </row>
    <row r="417" spans="1:18" x14ac:dyDescent="0.3">
      <c r="A417" t="s">
        <v>1328</v>
      </c>
      <c r="B417" t="s">
        <v>172</v>
      </c>
      <c r="C417" t="s">
        <v>1329</v>
      </c>
      <c r="D417" t="s">
        <v>43</v>
      </c>
      <c r="E417" t="s">
        <v>22</v>
      </c>
      <c r="F417" t="s">
        <v>44</v>
      </c>
      <c r="G417" t="s">
        <v>112</v>
      </c>
      <c r="H417" t="s">
        <v>211</v>
      </c>
      <c r="I417" t="s">
        <v>45</v>
      </c>
      <c r="J417" t="s">
        <v>59</v>
      </c>
      <c r="K417" t="s">
        <v>78</v>
      </c>
      <c r="L417" t="s">
        <v>60</v>
      </c>
      <c r="M417">
        <v>7</v>
      </c>
      <c r="N417">
        <v>6461</v>
      </c>
      <c r="O417">
        <v>45227</v>
      </c>
      <c r="P417">
        <v>93049</v>
      </c>
      <c r="Q417" t="s">
        <v>1105</v>
      </c>
      <c r="R417">
        <v>2027</v>
      </c>
    </row>
    <row r="418" spans="1:18" x14ac:dyDescent="0.3">
      <c r="A418" t="s">
        <v>1330</v>
      </c>
      <c r="B418" t="s">
        <v>172</v>
      </c>
      <c r="C418" t="s">
        <v>1331</v>
      </c>
      <c r="D418" t="s">
        <v>21</v>
      </c>
      <c r="E418" t="s">
        <v>49</v>
      </c>
      <c r="F418" t="s">
        <v>44</v>
      </c>
      <c r="G418" t="s">
        <v>24</v>
      </c>
      <c r="H418" t="s">
        <v>84</v>
      </c>
      <c r="I418" t="s">
        <v>37</v>
      </c>
      <c r="J418" t="s">
        <v>52</v>
      </c>
      <c r="K418" t="s">
        <v>38</v>
      </c>
      <c r="L418" t="s">
        <v>85</v>
      </c>
      <c r="M418">
        <v>1</v>
      </c>
      <c r="N418">
        <v>36762</v>
      </c>
      <c r="O418">
        <v>36762</v>
      </c>
      <c r="P418">
        <v>103585</v>
      </c>
      <c r="Q418" t="s">
        <v>1332</v>
      </c>
      <c r="R418">
        <v>2027</v>
      </c>
    </row>
    <row r="419" spans="1:18" x14ac:dyDescent="0.3">
      <c r="A419" t="s">
        <v>1333</v>
      </c>
      <c r="B419" t="s">
        <v>172</v>
      </c>
      <c r="C419" t="s">
        <v>1334</v>
      </c>
      <c r="D419" t="s">
        <v>64</v>
      </c>
      <c r="E419" t="s">
        <v>49</v>
      </c>
      <c r="F419" t="s">
        <v>50</v>
      </c>
      <c r="G419" t="s">
        <v>83</v>
      </c>
      <c r="H419" t="s">
        <v>184</v>
      </c>
      <c r="I419" t="s">
        <v>37</v>
      </c>
      <c r="J419" t="s">
        <v>52</v>
      </c>
      <c r="K419" t="s">
        <v>38</v>
      </c>
      <c r="L419" t="s">
        <v>117</v>
      </c>
      <c r="M419">
        <v>6</v>
      </c>
      <c r="N419">
        <v>25112</v>
      </c>
      <c r="O419">
        <v>150672</v>
      </c>
      <c r="P419">
        <v>26450</v>
      </c>
      <c r="Q419" t="s">
        <v>1335</v>
      </c>
      <c r="R419">
        <v>2027</v>
      </c>
    </row>
    <row r="420" spans="1:18" x14ac:dyDescent="0.3">
      <c r="A420" t="s">
        <v>1336</v>
      </c>
      <c r="B420" t="s">
        <v>172</v>
      </c>
      <c r="C420" t="s">
        <v>1337</v>
      </c>
      <c r="D420" t="s">
        <v>43</v>
      </c>
      <c r="E420" t="s">
        <v>44</v>
      </c>
      <c r="F420" t="s">
        <v>23</v>
      </c>
      <c r="G420" t="s">
        <v>97</v>
      </c>
      <c r="H420" t="s">
        <v>25</v>
      </c>
      <c r="I420" t="s">
        <v>26</v>
      </c>
      <c r="J420" t="s">
        <v>27</v>
      </c>
      <c r="K420" t="s">
        <v>28</v>
      </c>
      <c r="L420" t="s">
        <v>85</v>
      </c>
      <c r="M420">
        <v>4</v>
      </c>
      <c r="N420">
        <v>22945</v>
      </c>
      <c r="O420">
        <v>91780</v>
      </c>
      <c r="P420">
        <v>46779</v>
      </c>
      <c r="Q420" t="s">
        <v>1338</v>
      </c>
      <c r="R420">
        <v>2027</v>
      </c>
    </row>
    <row r="421" spans="1:18" x14ac:dyDescent="0.3">
      <c r="A421" t="s">
        <v>1339</v>
      </c>
      <c r="B421" t="s">
        <v>172</v>
      </c>
      <c r="C421" t="s">
        <v>1340</v>
      </c>
      <c r="D421" t="s">
        <v>21</v>
      </c>
      <c r="E421" t="s">
        <v>22</v>
      </c>
      <c r="F421" t="s">
        <v>96</v>
      </c>
      <c r="G421" t="s">
        <v>102</v>
      </c>
      <c r="H421" t="s">
        <v>218</v>
      </c>
      <c r="I421" t="s">
        <v>37</v>
      </c>
      <c r="J421" t="s">
        <v>27</v>
      </c>
      <c r="K421" t="s">
        <v>78</v>
      </c>
      <c r="L421" t="s">
        <v>39</v>
      </c>
      <c r="M421">
        <v>3</v>
      </c>
      <c r="N421">
        <v>17025</v>
      </c>
      <c r="O421">
        <v>51075</v>
      </c>
      <c r="P421">
        <v>31684</v>
      </c>
      <c r="Q421" t="s">
        <v>1341</v>
      </c>
      <c r="R421">
        <v>2027</v>
      </c>
    </row>
    <row r="422" spans="1:18" x14ac:dyDescent="0.3">
      <c r="A422" t="s">
        <v>1342</v>
      </c>
      <c r="B422" t="s">
        <v>172</v>
      </c>
      <c r="C422" t="s">
        <v>1343</v>
      </c>
      <c r="D422" t="s">
        <v>33</v>
      </c>
      <c r="E422" t="s">
        <v>82</v>
      </c>
      <c r="F422" t="s">
        <v>96</v>
      </c>
      <c r="G422" t="s">
        <v>116</v>
      </c>
      <c r="H422" t="s">
        <v>147</v>
      </c>
      <c r="I422" t="s">
        <v>77</v>
      </c>
      <c r="J422" t="s">
        <v>52</v>
      </c>
      <c r="K422" t="s">
        <v>78</v>
      </c>
      <c r="L422" t="s">
        <v>85</v>
      </c>
      <c r="M422">
        <v>1</v>
      </c>
      <c r="N422">
        <v>40420</v>
      </c>
      <c r="O422">
        <v>40420</v>
      </c>
      <c r="P422">
        <v>114546</v>
      </c>
      <c r="Q422" t="s">
        <v>1344</v>
      </c>
      <c r="R422">
        <v>2027</v>
      </c>
    </row>
    <row r="423" spans="1:18" x14ac:dyDescent="0.3">
      <c r="A423" t="s">
        <v>1345</v>
      </c>
      <c r="B423" t="s">
        <v>172</v>
      </c>
      <c r="C423" t="s">
        <v>1346</v>
      </c>
      <c r="D423" t="s">
        <v>21</v>
      </c>
      <c r="E423" t="s">
        <v>49</v>
      </c>
      <c r="F423" t="s">
        <v>96</v>
      </c>
      <c r="G423" t="s">
        <v>35</v>
      </c>
      <c r="H423" t="s">
        <v>84</v>
      </c>
      <c r="I423" t="s">
        <v>26</v>
      </c>
      <c r="J423" t="s">
        <v>52</v>
      </c>
      <c r="K423" t="s">
        <v>28</v>
      </c>
      <c r="L423" t="s">
        <v>117</v>
      </c>
      <c r="M423">
        <v>7</v>
      </c>
      <c r="N423">
        <v>43095</v>
      </c>
      <c r="O423">
        <v>301665</v>
      </c>
      <c r="P423">
        <v>73586</v>
      </c>
      <c r="Q423" t="s">
        <v>1347</v>
      </c>
      <c r="R423">
        <v>2027</v>
      </c>
    </row>
    <row r="424" spans="1:18" x14ac:dyDescent="0.3">
      <c r="A424" t="s">
        <v>1348</v>
      </c>
      <c r="B424" t="s">
        <v>172</v>
      </c>
      <c r="C424" t="s">
        <v>1349</v>
      </c>
      <c r="D424" t="s">
        <v>21</v>
      </c>
      <c r="E424" t="s">
        <v>22</v>
      </c>
      <c r="F424" t="s">
        <v>44</v>
      </c>
      <c r="G424" t="s">
        <v>102</v>
      </c>
      <c r="H424" t="s">
        <v>200</v>
      </c>
      <c r="I424" t="s">
        <v>45</v>
      </c>
      <c r="J424" t="s">
        <v>59</v>
      </c>
      <c r="K424" t="s">
        <v>71</v>
      </c>
      <c r="L424" t="s">
        <v>53</v>
      </c>
      <c r="M424">
        <v>7</v>
      </c>
      <c r="N424">
        <v>2217</v>
      </c>
      <c r="O424">
        <v>15519</v>
      </c>
      <c r="P424">
        <v>74822</v>
      </c>
      <c r="Q424" t="s">
        <v>1350</v>
      </c>
      <c r="R424">
        <v>2027</v>
      </c>
    </row>
    <row r="425" spans="1:18" x14ac:dyDescent="0.3">
      <c r="A425" t="s">
        <v>1351</v>
      </c>
      <c r="B425" t="s">
        <v>172</v>
      </c>
      <c r="C425" t="s">
        <v>1352</v>
      </c>
      <c r="D425" t="s">
        <v>43</v>
      </c>
      <c r="E425" t="s">
        <v>82</v>
      </c>
      <c r="F425" t="s">
        <v>96</v>
      </c>
      <c r="G425" t="s">
        <v>83</v>
      </c>
      <c r="H425" t="s">
        <v>70</v>
      </c>
      <c r="I425" t="s">
        <v>45</v>
      </c>
      <c r="J425" t="s">
        <v>59</v>
      </c>
      <c r="K425" t="s">
        <v>38</v>
      </c>
      <c r="L425" t="s">
        <v>29</v>
      </c>
      <c r="M425">
        <v>3</v>
      </c>
      <c r="N425">
        <v>49581</v>
      </c>
      <c r="O425">
        <v>148743</v>
      </c>
      <c r="P425">
        <v>33153</v>
      </c>
      <c r="Q425" t="s">
        <v>1353</v>
      </c>
      <c r="R425">
        <v>2027</v>
      </c>
    </row>
    <row r="426" spans="1:18" x14ac:dyDescent="0.3">
      <c r="A426" t="s">
        <v>1354</v>
      </c>
      <c r="B426" t="s">
        <v>265</v>
      </c>
      <c r="C426" t="s">
        <v>1355</v>
      </c>
      <c r="D426" t="s">
        <v>21</v>
      </c>
      <c r="E426" t="s">
        <v>57</v>
      </c>
      <c r="F426" t="s">
        <v>23</v>
      </c>
      <c r="G426" t="s">
        <v>83</v>
      </c>
      <c r="H426" t="s">
        <v>107</v>
      </c>
      <c r="I426" t="s">
        <v>77</v>
      </c>
      <c r="J426" t="s">
        <v>27</v>
      </c>
      <c r="K426" t="s">
        <v>28</v>
      </c>
      <c r="L426" t="s">
        <v>53</v>
      </c>
      <c r="M426">
        <v>1</v>
      </c>
      <c r="N426">
        <v>42255</v>
      </c>
      <c r="O426">
        <v>42255</v>
      </c>
      <c r="P426">
        <v>115793</v>
      </c>
      <c r="Q426" t="s">
        <v>1356</v>
      </c>
      <c r="R426">
        <v>2027</v>
      </c>
    </row>
    <row r="427" spans="1:18" x14ac:dyDescent="0.3">
      <c r="A427" t="s">
        <v>1357</v>
      </c>
      <c r="B427" t="s">
        <v>265</v>
      </c>
      <c r="C427" t="s">
        <v>1358</v>
      </c>
      <c r="D427" t="s">
        <v>21</v>
      </c>
      <c r="E427" t="s">
        <v>82</v>
      </c>
      <c r="F427" t="s">
        <v>50</v>
      </c>
      <c r="G427" t="s">
        <v>97</v>
      </c>
      <c r="H427" t="s">
        <v>200</v>
      </c>
      <c r="I427" t="s">
        <v>77</v>
      </c>
      <c r="J427" t="s">
        <v>59</v>
      </c>
      <c r="K427" t="s">
        <v>78</v>
      </c>
      <c r="L427" t="s">
        <v>29</v>
      </c>
      <c r="M427">
        <v>4</v>
      </c>
      <c r="N427">
        <v>48110</v>
      </c>
      <c r="O427">
        <v>192440</v>
      </c>
      <c r="P427">
        <v>36435</v>
      </c>
      <c r="Q427" t="s">
        <v>1359</v>
      </c>
      <c r="R427">
        <v>2027</v>
      </c>
    </row>
    <row r="428" spans="1:18" x14ac:dyDescent="0.3">
      <c r="A428" t="s">
        <v>1360</v>
      </c>
      <c r="B428" t="s">
        <v>265</v>
      </c>
      <c r="C428" t="s">
        <v>1361</v>
      </c>
      <c r="D428" t="s">
        <v>21</v>
      </c>
      <c r="E428" t="s">
        <v>57</v>
      </c>
      <c r="F428" t="s">
        <v>96</v>
      </c>
      <c r="G428" t="s">
        <v>89</v>
      </c>
      <c r="H428" t="s">
        <v>302</v>
      </c>
      <c r="I428" t="s">
        <v>37</v>
      </c>
      <c r="J428" t="s">
        <v>27</v>
      </c>
      <c r="K428" t="s">
        <v>71</v>
      </c>
      <c r="L428" t="s">
        <v>125</v>
      </c>
      <c r="M428">
        <v>5</v>
      </c>
      <c r="N428">
        <v>11674</v>
      </c>
      <c r="O428">
        <v>58370</v>
      </c>
      <c r="P428">
        <v>120076</v>
      </c>
      <c r="Q428" t="s">
        <v>1362</v>
      </c>
      <c r="R428">
        <v>2027</v>
      </c>
    </row>
    <row r="429" spans="1:18" x14ac:dyDescent="0.3">
      <c r="A429" t="s">
        <v>1363</v>
      </c>
      <c r="B429" t="s">
        <v>265</v>
      </c>
      <c r="C429" t="s">
        <v>1364</v>
      </c>
      <c r="D429" t="s">
        <v>64</v>
      </c>
      <c r="E429" t="s">
        <v>111</v>
      </c>
      <c r="F429" t="s">
        <v>75</v>
      </c>
      <c r="G429" t="s">
        <v>35</v>
      </c>
      <c r="H429" t="s">
        <v>218</v>
      </c>
      <c r="I429" t="s">
        <v>45</v>
      </c>
      <c r="J429" t="s">
        <v>59</v>
      </c>
      <c r="K429" t="s">
        <v>78</v>
      </c>
      <c r="L429" t="s">
        <v>66</v>
      </c>
      <c r="M429">
        <v>3</v>
      </c>
      <c r="N429">
        <v>26069</v>
      </c>
      <c r="O429">
        <v>78207</v>
      </c>
      <c r="P429">
        <v>89563</v>
      </c>
      <c r="Q429" t="s">
        <v>1365</v>
      </c>
      <c r="R429">
        <v>2027</v>
      </c>
    </row>
    <row r="430" spans="1:18" x14ac:dyDescent="0.3">
      <c r="A430" t="s">
        <v>1366</v>
      </c>
      <c r="B430" t="s">
        <v>265</v>
      </c>
      <c r="C430" t="s">
        <v>1367</v>
      </c>
      <c r="D430" t="s">
        <v>64</v>
      </c>
      <c r="E430" t="s">
        <v>111</v>
      </c>
      <c r="F430" t="s">
        <v>44</v>
      </c>
      <c r="G430" t="s">
        <v>83</v>
      </c>
      <c r="H430" t="s">
        <v>51</v>
      </c>
      <c r="I430" t="s">
        <v>77</v>
      </c>
      <c r="J430" t="s">
        <v>52</v>
      </c>
      <c r="K430" t="s">
        <v>38</v>
      </c>
      <c r="L430" t="s">
        <v>125</v>
      </c>
      <c r="M430">
        <v>8</v>
      </c>
      <c r="N430">
        <v>3029</v>
      </c>
      <c r="O430">
        <v>24232</v>
      </c>
      <c r="P430">
        <v>101502</v>
      </c>
      <c r="Q430" t="s">
        <v>1368</v>
      </c>
      <c r="R430">
        <v>2027</v>
      </c>
    </row>
    <row r="431" spans="1:18" x14ac:dyDescent="0.3">
      <c r="A431" t="s">
        <v>1369</v>
      </c>
      <c r="B431" t="s">
        <v>265</v>
      </c>
      <c r="C431" t="s">
        <v>1370</v>
      </c>
      <c r="D431" t="s">
        <v>33</v>
      </c>
      <c r="E431" t="s">
        <v>82</v>
      </c>
      <c r="F431" t="s">
        <v>44</v>
      </c>
      <c r="G431" t="s">
        <v>102</v>
      </c>
      <c r="H431" t="s">
        <v>25</v>
      </c>
      <c r="I431" t="s">
        <v>45</v>
      </c>
      <c r="J431" t="s">
        <v>59</v>
      </c>
      <c r="K431" t="s">
        <v>28</v>
      </c>
      <c r="L431" t="s">
        <v>85</v>
      </c>
      <c r="M431">
        <v>5</v>
      </c>
      <c r="N431">
        <v>14980</v>
      </c>
      <c r="O431">
        <v>74900</v>
      </c>
      <c r="P431">
        <v>125747</v>
      </c>
      <c r="Q431" t="s">
        <v>991</v>
      </c>
      <c r="R431">
        <v>2027</v>
      </c>
    </row>
    <row r="432" spans="1:18" x14ac:dyDescent="0.3">
      <c r="A432" t="s">
        <v>1371</v>
      </c>
      <c r="B432" t="s">
        <v>265</v>
      </c>
      <c r="C432" t="s">
        <v>1372</v>
      </c>
      <c r="D432" t="s">
        <v>64</v>
      </c>
      <c r="E432" t="s">
        <v>57</v>
      </c>
      <c r="F432" t="s">
        <v>96</v>
      </c>
      <c r="G432" t="s">
        <v>83</v>
      </c>
      <c r="H432" t="s">
        <v>232</v>
      </c>
      <c r="I432" t="s">
        <v>26</v>
      </c>
      <c r="J432" t="s">
        <v>27</v>
      </c>
      <c r="K432" t="s">
        <v>71</v>
      </c>
      <c r="L432" t="s">
        <v>66</v>
      </c>
      <c r="M432">
        <v>5</v>
      </c>
      <c r="N432">
        <v>30666</v>
      </c>
      <c r="O432">
        <v>153330</v>
      </c>
      <c r="P432">
        <v>132645</v>
      </c>
      <c r="Q432" t="s">
        <v>1373</v>
      </c>
      <c r="R432">
        <v>2027</v>
      </c>
    </row>
    <row r="433" spans="1:18" x14ac:dyDescent="0.3">
      <c r="A433" t="s">
        <v>1374</v>
      </c>
      <c r="B433" t="s">
        <v>265</v>
      </c>
      <c r="C433" t="s">
        <v>1375</v>
      </c>
      <c r="D433" t="s">
        <v>43</v>
      </c>
      <c r="E433" t="s">
        <v>111</v>
      </c>
      <c r="F433" t="s">
        <v>44</v>
      </c>
      <c r="G433" t="s">
        <v>24</v>
      </c>
      <c r="H433" t="s">
        <v>376</v>
      </c>
      <c r="I433" t="s">
        <v>77</v>
      </c>
      <c r="J433" t="s">
        <v>52</v>
      </c>
      <c r="K433" t="s">
        <v>71</v>
      </c>
      <c r="L433" t="s">
        <v>39</v>
      </c>
      <c r="M433">
        <v>9</v>
      </c>
      <c r="N433">
        <v>26293</v>
      </c>
      <c r="O433">
        <v>236637</v>
      </c>
      <c r="P433">
        <v>102115</v>
      </c>
      <c r="Q433" t="s">
        <v>1057</v>
      </c>
      <c r="R433">
        <v>2027</v>
      </c>
    </row>
    <row r="434" spans="1:18" x14ac:dyDescent="0.3">
      <c r="A434" t="s">
        <v>1376</v>
      </c>
      <c r="B434" t="s">
        <v>265</v>
      </c>
      <c r="C434" t="s">
        <v>1377</v>
      </c>
      <c r="D434" t="s">
        <v>43</v>
      </c>
      <c r="E434" t="s">
        <v>22</v>
      </c>
      <c r="F434" t="s">
        <v>50</v>
      </c>
      <c r="G434" t="s">
        <v>112</v>
      </c>
      <c r="H434" t="s">
        <v>279</v>
      </c>
      <c r="I434" t="s">
        <v>77</v>
      </c>
      <c r="J434" t="s">
        <v>27</v>
      </c>
      <c r="K434" t="s">
        <v>78</v>
      </c>
      <c r="L434" t="s">
        <v>66</v>
      </c>
      <c r="M434">
        <v>1</v>
      </c>
      <c r="N434">
        <v>42952</v>
      </c>
      <c r="O434">
        <v>42952</v>
      </c>
      <c r="P434">
        <v>125738</v>
      </c>
      <c r="Q434" t="s">
        <v>1378</v>
      </c>
      <c r="R434">
        <v>2027</v>
      </c>
    </row>
    <row r="435" spans="1:18" x14ac:dyDescent="0.3">
      <c r="A435" t="s">
        <v>1379</v>
      </c>
      <c r="B435" t="s">
        <v>265</v>
      </c>
      <c r="C435" t="s">
        <v>1380</v>
      </c>
      <c r="D435" t="s">
        <v>64</v>
      </c>
      <c r="E435" t="s">
        <v>44</v>
      </c>
      <c r="F435" t="s">
        <v>34</v>
      </c>
      <c r="G435" t="s">
        <v>116</v>
      </c>
      <c r="H435" t="s">
        <v>121</v>
      </c>
      <c r="I435" t="s">
        <v>26</v>
      </c>
      <c r="J435" t="s">
        <v>27</v>
      </c>
      <c r="K435" t="s">
        <v>78</v>
      </c>
      <c r="L435" t="s">
        <v>39</v>
      </c>
      <c r="M435">
        <v>8</v>
      </c>
      <c r="N435">
        <v>37771</v>
      </c>
      <c r="O435">
        <v>302168</v>
      </c>
      <c r="P435">
        <v>113327</v>
      </c>
      <c r="Q435" t="s">
        <v>1381</v>
      </c>
      <c r="R435">
        <v>2027</v>
      </c>
    </row>
    <row r="436" spans="1:18" x14ac:dyDescent="0.3">
      <c r="A436" t="s">
        <v>1382</v>
      </c>
      <c r="B436" t="s">
        <v>265</v>
      </c>
      <c r="C436" t="s">
        <v>1383</v>
      </c>
      <c r="D436" t="s">
        <v>43</v>
      </c>
      <c r="E436" t="s">
        <v>44</v>
      </c>
      <c r="F436" t="s">
        <v>96</v>
      </c>
      <c r="G436" t="s">
        <v>102</v>
      </c>
      <c r="H436" t="s">
        <v>143</v>
      </c>
      <c r="I436" t="s">
        <v>77</v>
      </c>
      <c r="J436" t="s">
        <v>59</v>
      </c>
      <c r="K436" t="s">
        <v>38</v>
      </c>
      <c r="L436" t="s">
        <v>117</v>
      </c>
      <c r="M436">
        <v>4</v>
      </c>
      <c r="N436">
        <v>40579</v>
      </c>
      <c r="O436">
        <v>162316</v>
      </c>
      <c r="P436">
        <v>130519</v>
      </c>
      <c r="Q436" t="s">
        <v>1384</v>
      </c>
      <c r="R436">
        <v>2027</v>
      </c>
    </row>
    <row r="437" spans="1:18" x14ac:dyDescent="0.3">
      <c r="A437" t="s">
        <v>1385</v>
      </c>
      <c r="B437" t="s">
        <v>265</v>
      </c>
      <c r="C437" t="s">
        <v>1386</v>
      </c>
      <c r="D437" t="s">
        <v>33</v>
      </c>
      <c r="E437" t="s">
        <v>44</v>
      </c>
      <c r="F437" t="s">
        <v>75</v>
      </c>
      <c r="G437" t="s">
        <v>83</v>
      </c>
      <c r="H437" t="s">
        <v>98</v>
      </c>
      <c r="I437" t="s">
        <v>45</v>
      </c>
      <c r="J437" t="s">
        <v>52</v>
      </c>
      <c r="K437" t="s">
        <v>78</v>
      </c>
      <c r="L437" t="s">
        <v>66</v>
      </c>
      <c r="M437">
        <v>6</v>
      </c>
      <c r="N437">
        <v>29697</v>
      </c>
      <c r="O437">
        <v>178182</v>
      </c>
      <c r="P437">
        <v>126534</v>
      </c>
      <c r="Q437" t="s">
        <v>1387</v>
      </c>
      <c r="R437">
        <v>2027</v>
      </c>
    </row>
    <row r="438" spans="1:18" x14ac:dyDescent="0.3">
      <c r="A438" t="s">
        <v>1388</v>
      </c>
      <c r="B438" t="s">
        <v>265</v>
      </c>
      <c r="C438" t="s">
        <v>1389</v>
      </c>
      <c r="D438" t="s">
        <v>21</v>
      </c>
      <c r="E438" t="s">
        <v>57</v>
      </c>
      <c r="F438" t="s">
        <v>50</v>
      </c>
      <c r="G438" t="s">
        <v>97</v>
      </c>
      <c r="H438" t="s">
        <v>51</v>
      </c>
      <c r="I438" t="s">
        <v>45</v>
      </c>
      <c r="J438" t="s">
        <v>52</v>
      </c>
      <c r="K438" t="s">
        <v>78</v>
      </c>
      <c r="L438" t="s">
        <v>39</v>
      </c>
      <c r="M438">
        <v>6</v>
      </c>
      <c r="N438">
        <v>30412</v>
      </c>
      <c r="O438">
        <v>182472</v>
      </c>
      <c r="P438">
        <v>100688</v>
      </c>
      <c r="Q438" t="s">
        <v>1390</v>
      </c>
      <c r="R438">
        <v>2027</v>
      </c>
    </row>
    <row r="439" spans="1:18" x14ac:dyDescent="0.3">
      <c r="A439" t="s">
        <v>1391</v>
      </c>
      <c r="B439" t="s">
        <v>265</v>
      </c>
      <c r="C439" t="s">
        <v>1392</v>
      </c>
      <c r="D439" t="s">
        <v>33</v>
      </c>
      <c r="E439" t="s">
        <v>49</v>
      </c>
      <c r="F439" t="s">
        <v>96</v>
      </c>
      <c r="G439" t="s">
        <v>35</v>
      </c>
      <c r="H439" t="s">
        <v>139</v>
      </c>
      <c r="I439" t="s">
        <v>45</v>
      </c>
      <c r="J439" t="s">
        <v>52</v>
      </c>
      <c r="K439" t="s">
        <v>71</v>
      </c>
      <c r="L439" t="s">
        <v>85</v>
      </c>
      <c r="M439">
        <v>7</v>
      </c>
      <c r="N439">
        <v>27615</v>
      </c>
      <c r="O439">
        <v>193305</v>
      </c>
      <c r="P439">
        <v>50761</v>
      </c>
      <c r="Q439" t="s">
        <v>902</v>
      </c>
      <c r="R439">
        <v>2027</v>
      </c>
    </row>
    <row r="440" spans="1:18" x14ac:dyDescent="0.3">
      <c r="A440" t="s">
        <v>1393</v>
      </c>
      <c r="B440" t="s">
        <v>265</v>
      </c>
      <c r="C440" t="s">
        <v>1394</v>
      </c>
      <c r="D440" t="s">
        <v>21</v>
      </c>
      <c r="E440" t="s">
        <v>49</v>
      </c>
      <c r="F440" t="s">
        <v>34</v>
      </c>
      <c r="G440" t="s">
        <v>89</v>
      </c>
      <c r="H440" t="s">
        <v>298</v>
      </c>
      <c r="I440" t="s">
        <v>77</v>
      </c>
      <c r="J440" t="s">
        <v>27</v>
      </c>
      <c r="K440" t="s">
        <v>78</v>
      </c>
      <c r="L440" t="s">
        <v>39</v>
      </c>
      <c r="M440">
        <v>6</v>
      </c>
      <c r="N440">
        <v>26950</v>
      </c>
      <c r="O440">
        <v>161700</v>
      </c>
      <c r="P440">
        <v>146273</v>
      </c>
      <c r="Q440" t="s">
        <v>1395</v>
      </c>
      <c r="R440">
        <v>2027</v>
      </c>
    </row>
    <row r="441" spans="1:18" x14ac:dyDescent="0.3">
      <c r="A441" t="s">
        <v>1396</v>
      </c>
      <c r="B441" t="s">
        <v>265</v>
      </c>
      <c r="C441" t="s">
        <v>1397</v>
      </c>
      <c r="D441" t="s">
        <v>21</v>
      </c>
      <c r="E441" t="s">
        <v>82</v>
      </c>
      <c r="F441" t="s">
        <v>34</v>
      </c>
      <c r="G441" t="s">
        <v>97</v>
      </c>
      <c r="H441" t="s">
        <v>309</v>
      </c>
      <c r="I441" t="s">
        <v>45</v>
      </c>
      <c r="J441" t="s">
        <v>27</v>
      </c>
      <c r="K441" t="s">
        <v>71</v>
      </c>
      <c r="L441" t="s">
        <v>66</v>
      </c>
      <c r="M441">
        <v>9</v>
      </c>
      <c r="N441">
        <v>31273</v>
      </c>
      <c r="O441">
        <v>281457</v>
      </c>
      <c r="P441">
        <v>68828</v>
      </c>
      <c r="Q441" t="s">
        <v>1398</v>
      </c>
      <c r="R441">
        <v>2027</v>
      </c>
    </row>
    <row r="442" spans="1:18" x14ac:dyDescent="0.3">
      <c r="A442" t="s">
        <v>1399</v>
      </c>
      <c r="B442" t="s">
        <v>265</v>
      </c>
      <c r="C442" t="s">
        <v>1400</v>
      </c>
      <c r="D442" t="s">
        <v>43</v>
      </c>
      <c r="E442" t="s">
        <v>22</v>
      </c>
      <c r="F442" t="s">
        <v>23</v>
      </c>
      <c r="G442" t="s">
        <v>112</v>
      </c>
      <c r="H442" t="s">
        <v>84</v>
      </c>
      <c r="I442" t="s">
        <v>37</v>
      </c>
      <c r="J442" t="s">
        <v>52</v>
      </c>
      <c r="K442" t="s">
        <v>71</v>
      </c>
      <c r="L442" t="s">
        <v>39</v>
      </c>
      <c r="M442">
        <v>8</v>
      </c>
      <c r="N442">
        <v>24063</v>
      </c>
      <c r="O442">
        <v>192504</v>
      </c>
      <c r="P442">
        <v>97532</v>
      </c>
      <c r="Q442" t="s">
        <v>1401</v>
      </c>
      <c r="R442">
        <v>2027</v>
      </c>
    </row>
    <row r="443" spans="1:18" x14ac:dyDescent="0.3">
      <c r="A443" t="s">
        <v>1402</v>
      </c>
      <c r="B443" t="s">
        <v>265</v>
      </c>
      <c r="C443" t="s">
        <v>1403</v>
      </c>
      <c r="D443" t="s">
        <v>43</v>
      </c>
      <c r="E443" t="s">
        <v>44</v>
      </c>
      <c r="F443" t="s">
        <v>96</v>
      </c>
      <c r="G443" t="s">
        <v>97</v>
      </c>
      <c r="H443" t="s">
        <v>298</v>
      </c>
      <c r="I443" t="s">
        <v>77</v>
      </c>
      <c r="J443" t="s">
        <v>59</v>
      </c>
      <c r="K443" t="s">
        <v>38</v>
      </c>
      <c r="L443" t="s">
        <v>85</v>
      </c>
      <c r="M443">
        <v>1</v>
      </c>
      <c r="N443">
        <v>30751</v>
      </c>
      <c r="O443">
        <v>30751</v>
      </c>
      <c r="P443">
        <v>120786</v>
      </c>
      <c r="Q443" t="s">
        <v>1404</v>
      </c>
      <c r="R443">
        <v>2027</v>
      </c>
    </row>
    <row r="444" spans="1:18" x14ac:dyDescent="0.3">
      <c r="A444" t="s">
        <v>1405</v>
      </c>
      <c r="B444" t="s">
        <v>265</v>
      </c>
      <c r="C444" t="s">
        <v>1406</v>
      </c>
      <c r="D444" t="s">
        <v>21</v>
      </c>
      <c r="E444" t="s">
        <v>57</v>
      </c>
      <c r="F444" t="s">
        <v>50</v>
      </c>
      <c r="G444" t="s">
        <v>112</v>
      </c>
      <c r="H444" t="s">
        <v>51</v>
      </c>
      <c r="I444" t="s">
        <v>37</v>
      </c>
      <c r="J444" t="s">
        <v>52</v>
      </c>
      <c r="K444" t="s">
        <v>71</v>
      </c>
      <c r="L444" t="s">
        <v>39</v>
      </c>
      <c r="M444">
        <v>9</v>
      </c>
      <c r="N444">
        <v>29737</v>
      </c>
      <c r="O444">
        <v>267633</v>
      </c>
      <c r="P444">
        <v>39768</v>
      </c>
      <c r="Q444" t="s">
        <v>1407</v>
      </c>
      <c r="R444">
        <v>2027</v>
      </c>
    </row>
    <row r="445" spans="1:18" x14ac:dyDescent="0.3">
      <c r="A445" t="s">
        <v>1408</v>
      </c>
      <c r="B445" t="s">
        <v>265</v>
      </c>
      <c r="C445" t="s">
        <v>1409</v>
      </c>
      <c r="D445" t="s">
        <v>64</v>
      </c>
      <c r="E445" t="s">
        <v>22</v>
      </c>
      <c r="F445" t="s">
        <v>96</v>
      </c>
      <c r="G445" t="s">
        <v>116</v>
      </c>
      <c r="H445" t="s">
        <v>228</v>
      </c>
      <c r="I445" t="s">
        <v>45</v>
      </c>
      <c r="J445" t="s">
        <v>59</v>
      </c>
      <c r="K445" t="s">
        <v>71</v>
      </c>
      <c r="L445" t="s">
        <v>66</v>
      </c>
      <c r="M445">
        <v>5</v>
      </c>
      <c r="N445">
        <v>28923</v>
      </c>
      <c r="O445">
        <v>144615</v>
      </c>
      <c r="P445">
        <v>105165</v>
      </c>
      <c r="Q445" t="s">
        <v>1410</v>
      </c>
      <c r="R445">
        <v>2027</v>
      </c>
    </row>
    <row r="446" spans="1:18" x14ac:dyDescent="0.3">
      <c r="A446" t="s">
        <v>1411</v>
      </c>
      <c r="B446" t="s">
        <v>265</v>
      </c>
      <c r="C446" t="s">
        <v>1412</v>
      </c>
      <c r="D446" t="s">
        <v>33</v>
      </c>
      <c r="E446" t="s">
        <v>82</v>
      </c>
      <c r="F446" t="s">
        <v>34</v>
      </c>
      <c r="G446" t="s">
        <v>24</v>
      </c>
      <c r="H446" t="s">
        <v>154</v>
      </c>
      <c r="I446" t="s">
        <v>26</v>
      </c>
      <c r="J446" t="s">
        <v>52</v>
      </c>
      <c r="K446" t="s">
        <v>38</v>
      </c>
      <c r="L446" t="s">
        <v>29</v>
      </c>
      <c r="M446">
        <v>3</v>
      </c>
      <c r="N446">
        <v>29477</v>
      </c>
      <c r="O446">
        <v>88431</v>
      </c>
      <c r="P446">
        <v>39692</v>
      </c>
      <c r="Q446" t="s">
        <v>1413</v>
      </c>
      <c r="R446">
        <v>2027</v>
      </c>
    </row>
    <row r="447" spans="1:18" x14ac:dyDescent="0.3">
      <c r="A447" t="s">
        <v>1414</v>
      </c>
      <c r="B447" t="s">
        <v>265</v>
      </c>
      <c r="C447" t="s">
        <v>1415</v>
      </c>
      <c r="D447" t="s">
        <v>64</v>
      </c>
      <c r="E447" t="s">
        <v>57</v>
      </c>
      <c r="F447" t="s">
        <v>75</v>
      </c>
      <c r="G447" t="s">
        <v>97</v>
      </c>
      <c r="H447" t="s">
        <v>107</v>
      </c>
      <c r="I447" t="s">
        <v>26</v>
      </c>
      <c r="J447" t="s">
        <v>59</v>
      </c>
      <c r="K447" t="s">
        <v>28</v>
      </c>
      <c r="L447" t="s">
        <v>85</v>
      </c>
      <c r="M447">
        <v>9</v>
      </c>
      <c r="N447">
        <v>11167</v>
      </c>
      <c r="O447">
        <v>100503</v>
      </c>
      <c r="P447">
        <v>49857</v>
      </c>
      <c r="Q447" t="s">
        <v>1416</v>
      </c>
      <c r="R447">
        <v>2027</v>
      </c>
    </row>
    <row r="448" spans="1:18" x14ac:dyDescent="0.3">
      <c r="A448" t="s">
        <v>1417</v>
      </c>
      <c r="B448" t="s">
        <v>265</v>
      </c>
      <c r="C448" t="s">
        <v>1418</v>
      </c>
      <c r="D448" t="s">
        <v>33</v>
      </c>
      <c r="E448" t="s">
        <v>22</v>
      </c>
      <c r="F448" t="s">
        <v>75</v>
      </c>
      <c r="G448" t="s">
        <v>24</v>
      </c>
      <c r="H448" t="s">
        <v>139</v>
      </c>
      <c r="I448" t="s">
        <v>26</v>
      </c>
      <c r="J448" t="s">
        <v>59</v>
      </c>
      <c r="K448" t="s">
        <v>28</v>
      </c>
      <c r="L448" t="s">
        <v>66</v>
      </c>
      <c r="M448">
        <v>5</v>
      </c>
      <c r="N448">
        <v>30240</v>
      </c>
      <c r="O448">
        <v>151200</v>
      </c>
      <c r="P448">
        <v>36015</v>
      </c>
      <c r="Q448" t="s">
        <v>1419</v>
      </c>
      <c r="R448">
        <v>2027</v>
      </c>
    </row>
    <row r="449" spans="1:18" x14ac:dyDescent="0.3">
      <c r="A449" t="s">
        <v>1420</v>
      </c>
      <c r="B449" t="s">
        <v>265</v>
      </c>
      <c r="C449" t="s">
        <v>1421</v>
      </c>
      <c r="D449" t="s">
        <v>64</v>
      </c>
      <c r="E449" t="s">
        <v>82</v>
      </c>
      <c r="F449" t="s">
        <v>75</v>
      </c>
      <c r="G449" t="s">
        <v>24</v>
      </c>
      <c r="H449" t="s">
        <v>51</v>
      </c>
      <c r="I449" t="s">
        <v>45</v>
      </c>
      <c r="J449" t="s">
        <v>27</v>
      </c>
      <c r="K449" t="s">
        <v>38</v>
      </c>
      <c r="L449" t="s">
        <v>117</v>
      </c>
      <c r="M449">
        <v>4</v>
      </c>
      <c r="N449">
        <v>22755</v>
      </c>
      <c r="O449">
        <v>91020</v>
      </c>
      <c r="P449">
        <v>10626</v>
      </c>
      <c r="Q449" t="s">
        <v>1422</v>
      </c>
      <c r="R449">
        <v>2027</v>
      </c>
    </row>
    <row r="450" spans="1:18" x14ac:dyDescent="0.3">
      <c r="A450" t="s">
        <v>1423</v>
      </c>
      <c r="B450" t="s">
        <v>265</v>
      </c>
      <c r="C450" t="s">
        <v>1424</v>
      </c>
      <c r="D450" t="s">
        <v>43</v>
      </c>
      <c r="E450" t="s">
        <v>49</v>
      </c>
      <c r="F450" t="s">
        <v>50</v>
      </c>
      <c r="G450" t="s">
        <v>97</v>
      </c>
      <c r="H450" t="s">
        <v>103</v>
      </c>
      <c r="I450" t="s">
        <v>45</v>
      </c>
      <c r="J450" t="s">
        <v>52</v>
      </c>
      <c r="K450" t="s">
        <v>78</v>
      </c>
      <c r="L450" t="s">
        <v>60</v>
      </c>
      <c r="M450">
        <v>7</v>
      </c>
      <c r="N450">
        <v>49158</v>
      </c>
      <c r="O450">
        <v>344106</v>
      </c>
      <c r="P450">
        <v>121210</v>
      </c>
      <c r="Q450" t="s">
        <v>1425</v>
      </c>
      <c r="R450">
        <v>2027</v>
      </c>
    </row>
    <row r="451" spans="1:18" x14ac:dyDescent="0.3">
      <c r="A451" t="s">
        <v>1426</v>
      </c>
      <c r="B451" t="s">
        <v>265</v>
      </c>
      <c r="C451" t="s">
        <v>1427</v>
      </c>
      <c r="D451" t="s">
        <v>21</v>
      </c>
      <c r="E451" t="s">
        <v>82</v>
      </c>
      <c r="F451" t="s">
        <v>75</v>
      </c>
      <c r="G451" t="s">
        <v>112</v>
      </c>
      <c r="H451" t="s">
        <v>302</v>
      </c>
      <c r="I451" t="s">
        <v>77</v>
      </c>
      <c r="J451" t="s">
        <v>59</v>
      </c>
      <c r="K451" t="s">
        <v>71</v>
      </c>
      <c r="L451" t="s">
        <v>60</v>
      </c>
      <c r="M451">
        <v>1</v>
      </c>
      <c r="N451">
        <v>48117</v>
      </c>
      <c r="O451">
        <v>48117</v>
      </c>
      <c r="P451">
        <v>42315</v>
      </c>
      <c r="Q451" t="s">
        <v>1428</v>
      </c>
      <c r="R451">
        <v>2027</v>
      </c>
    </row>
    <row r="452" spans="1:18" x14ac:dyDescent="0.3">
      <c r="A452" t="s">
        <v>1429</v>
      </c>
      <c r="B452" t="s">
        <v>265</v>
      </c>
      <c r="C452" t="s">
        <v>1430</v>
      </c>
      <c r="D452" t="s">
        <v>21</v>
      </c>
      <c r="E452" t="s">
        <v>44</v>
      </c>
      <c r="F452" t="s">
        <v>34</v>
      </c>
      <c r="G452" t="s">
        <v>89</v>
      </c>
      <c r="H452" t="s">
        <v>177</v>
      </c>
      <c r="I452" t="s">
        <v>26</v>
      </c>
      <c r="J452" t="s">
        <v>59</v>
      </c>
      <c r="K452" t="s">
        <v>38</v>
      </c>
      <c r="L452" t="s">
        <v>125</v>
      </c>
      <c r="M452">
        <v>7</v>
      </c>
      <c r="N452">
        <v>35827</v>
      </c>
      <c r="O452">
        <v>250789</v>
      </c>
      <c r="P452">
        <v>75322</v>
      </c>
      <c r="Q452" t="s">
        <v>1431</v>
      </c>
      <c r="R452">
        <v>2027</v>
      </c>
    </row>
    <row r="453" spans="1:18" x14ac:dyDescent="0.3">
      <c r="A453" t="s">
        <v>1432</v>
      </c>
      <c r="B453" t="s">
        <v>265</v>
      </c>
      <c r="C453" t="s">
        <v>1433</v>
      </c>
      <c r="D453" t="s">
        <v>43</v>
      </c>
      <c r="E453" t="s">
        <v>111</v>
      </c>
      <c r="F453" t="s">
        <v>50</v>
      </c>
      <c r="G453" t="s">
        <v>112</v>
      </c>
      <c r="H453" t="s">
        <v>218</v>
      </c>
      <c r="I453" t="s">
        <v>26</v>
      </c>
      <c r="J453" t="s">
        <v>59</v>
      </c>
      <c r="K453" t="s">
        <v>28</v>
      </c>
      <c r="L453" t="s">
        <v>60</v>
      </c>
      <c r="M453">
        <v>8</v>
      </c>
      <c r="N453">
        <v>6020</v>
      </c>
      <c r="O453">
        <v>48160</v>
      </c>
      <c r="P453">
        <v>112867</v>
      </c>
      <c r="Q453" t="s">
        <v>1434</v>
      </c>
      <c r="R453">
        <v>2027</v>
      </c>
    </row>
    <row r="454" spans="1:18" x14ac:dyDescent="0.3">
      <c r="A454" t="s">
        <v>1435</v>
      </c>
      <c r="B454" t="s">
        <v>265</v>
      </c>
      <c r="C454" t="s">
        <v>1436</v>
      </c>
      <c r="D454" t="s">
        <v>43</v>
      </c>
      <c r="E454" t="s">
        <v>22</v>
      </c>
      <c r="F454" t="s">
        <v>44</v>
      </c>
      <c r="G454" t="s">
        <v>89</v>
      </c>
      <c r="H454" t="s">
        <v>25</v>
      </c>
      <c r="I454" t="s">
        <v>77</v>
      </c>
      <c r="J454" t="s">
        <v>27</v>
      </c>
      <c r="K454" t="s">
        <v>71</v>
      </c>
      <c r="L454" t="s">
        <v>60</v>
      </c>
      <c r="M454">
        <v>7</v>
      </c>
      <c r="N454">
        <v>25681</v>
      </c>
      <c r="O454">
        <v>179767</v>
      </c>
      <c r="P454">
        <v>60581</v>
      </c>
      <c r="Q454" t="s">
        <v>1437</v>
      </c>
      <c r="R454">
        <v>2027</v>
      </c>
    </row>
    <row r="455" spans="1:18" x14ac:dyDescent="0.3">
      <c r="A455" t="s">
        <v>1438</v>
      </c>
      <c r="B455" t="s">
        <v>265</v>
      </c>
      <c r="C455" t="s">
        <v>1439</v>
      </c>
      <c r="D455" t="s">
        <v>33</v>
      </c>
      <c r="E455" t="s">
        <v>82</v>
      </c>
      <c r="F455" t="s">
        <v>50</v>
      </c>
      <c r="G455" t="s">
        <v>102</v>
      </c>
      <c r="H455" t="s">
        <v>211</v>
      </c>
      <c r="I455" t="s">
        <v>77</v>
      </c>
      <c r="J455" t="s">
        <v>27</v>
      </c>
      <c r="K455" t="s">
        <v>78</v>
      </c>
      <c r="L455" t="s">
        <v>39</v>
      </c>
      <c r="M455">
        <v>2</v>
      </c>
      <c r="N455">
        <v>12593</v>
      </c>
      <c r="O455">
        <v>25186</v>
      </c>
      <c r="P455">
        <v>82038</v>
      </c>
      <c r="Q455" t="s">
        <v>1440</v>
      </c>
      <c r="R455">
        <v>2027</v>
      </c>
    </row>
    <row r="456" spans="1:18" x14ac:dyDescent="0.3">
      <c r="A456" t="s">
        <v>1441</v>
      </c>
      <c r="B456" t="s">
        <v>265</v>
      </c>
      <c r="C456" t="s">
        <v>1442</v>
      </c>
      <c r="D456" t="s">
        <v>33</v>
      </c>
      <c r="E456" t="s">
        <v>57</v>
      </c>
      <c r="F456" t="s">
        <v>96</v>
      </c>
      <c r="G456" t="s">
        <v>89</v>
      </c>
      <c r="H456" t="s">
        <v>204</v>
      </c>
      <c r="I456" t="s">
        <v>37</v>
      </c>
      <c r="J456" t="s">
        <v>59</v>
      </c>
      <c r="K456" t="s">
        <v>38</v>
      </c>
      <c r="L456" t="s">
        <v>117</v>
      </c>
      <c r="M456">
        <v>8</v>
      </c>
      <c r="N456">
        <v>4704</v>
      </c>
      <c r="O456">
        <v>37632</v>
      </c>
      <c r="P456">
        <v>85157</v>
      </c>
      <c r="Q456" t="s">
        <v>292</v>
      </c>
      <c r="R456">
        <v>2027</v>
      </c>
    </row>
    <row r="457" spans="1:18" x14ac:dyDescent="0.3">
      <c r="A457" t="s">
        <v>1443</v>
      </c>
      <c r="B457" t="s">
        <v>362</v>
      </c>
      <c r="C457" t="s">
        <v>1444</v>
      </c>
      <c r="D457" t="s">
        <v>64</v>
      </c>
      <c r="E457" t="s">
        <v>44</v>
      </c>
      <c r="F457" t="s">
        <v>96</v>
      </c>
      <c r="G457" t="s">
        <v>116</v>
      </c>
      <c r="H457" t="s">
        <v>376</v>
      </c>
      <c r="I457" t="s">
        <v>77</v>
      </c>
      <c r="J457" t="s">
        <v>59</v>
      </c>
      <c r="K457" t="s">
        <v>28</v>
      </c>
      <c r="L457" t="s">
        <v>39</v>
      </c>
      <c r="M457">
        <v>1</v>
      </c>
      <c r="N457">
        <v>32184</v>
      </c>
      <c r="O457">
        <v>32184</v>
      </c>
      <c r="P457">
        <v>49603</v>
      </c>
      <c r="Q457" t="s">
        <v>1445</v>
      </c>
      <c r="R457">
        <v>2027</v>
      </c>
    </row>
    <row r="458" spans="1:18" x14ac:dyDescent="0.3">
      <c r="A458" t="s">
        <v>1446</v>
      </c>
      <c r="B458" t="s">
        <v>362</v>
      </c>
      <c r="C458" t="s">
        <v>1447</v>
      </c>
      <c r="D458" t="s">
        <v>21</v>
      </c>
      <c r="E458" t="s">
        <v>22</v>
      </c>
      <c r="F458" t="s">
        <v>96</v>
      </c>
      <c r="G458" t="s">
        <v>97</v>
      </c>
      <c r="H458" t="s">
        <v>298</v>
      </c>
      <c r="I458" t="s">
        <v>45</v>
      </c>
      <c r="J458" t="s">
        <v>52</v>
      </c>
      <c r="K458" t="s">
        <v>38</v>
      </c>
      <c r="L458" t="s">
        <v>85</v>
      </c>
      <c r="M458">
        <v>8</v>
      </c>
      <c r="N458">
        <v>43980</v>
      </c>
      <c r="O458">
        <v>351840</v>
      </c>
      <c r="P458">
        <v>137781</v>
      </c>
      <c r="Q458" t="s">
        <v>1448</v>
      </c>
      <c r="R458">
        <v>2027</v>
      </c>
    </row>
    <row r="459" spans="1:18" x14ac:dyDescent="0.3">
      <c r="A459" t="s">
        <v>1449</v>
      </c>
      <c r="B459" t="s">
        <v>362</v>
      </c>
      <c r="C459" t="s">
        <v>1450</v>
      </c>
      <c r="D459" t="s">
        <v>43</v>
      </c>
      <c r="E459" t="s">
        <v>57</v>
      </c>
      <c r="F459" t="s">
        <v>34</v>
      </c>
      <c r="G459" t="s">
        <v>116</v>
      </c>
      <c r="H459" t="s">
        <v>143</v>
      </c>
      <c r="I459" t="s">
        <v>45</v>
      </c>
      <c r="J459" t="s">
        <v>59</v>
      </c>
      <c r="K459" t="s">
        <v>78</v>
      </c>
      <c r="L459" t="s">
        <v>60</v>
      </c>
      <c r="M459">
        <v>6</v>
      </c>
      <c r="N459">
        <v>49551</v>
      </c>
      <c r="O459">
        <v>297306</v>
      </c>
      <c r="P459">
        <v>132109</v>
      </c>
      <c r="Q459" t="s">
        <v>1451</v>
      </c>
      <c r="R459">
        <v>2027</v>
      </c>
    </row>
    <row r="460" spans="1:18" x14ac:dyDescent="0.3">
      <c r="A460" t="s">
        <v>1452</v>
      </c>
      <c r="B460" t="s">
        <v>362</v>
      </c>
      <c r="C460" t="s">
        <v>1453</v>
      </c>
      <c r="D460" t="s">
        <v>64</v>
      </c>
      <c r="E460" t="s">
        <v>44</v>
      </c>
      <c r="F460" t="s">
        <v>96</v>
      </c>
      <c r="G460" t="s">
        <v>116</v>
      </c>
      <c r="H460" t="s">
        <v>298</v>
      </c>
      <c r="I460" t="s">
        <v>26</v>
      </c>
      <c r="J460" t="s">
        <v>27</v>
      </c>
      <c r="K460" t="s">
        <v>71</v>
      </c>
      <c r="L460" t="s">
        <v>29</v>
      </c>
      <c r="M460">
        <v>3</v>
      </c>
      <c r="N460">
        <v>27922</v>
      </c>
      <c r="O460">
        <v>83766</v>
      </c>
      <c r="P460">
        <v>127611</v>
      </c>
      <c r="Q460" t="s">
        <v>1454</v>
      </c>
      <c r="R460">
        <v>2027</v>
      </c>
    </row>
    <row r="461" spans="1:18" x14ac:dyDescent="0.3">
      <c r="A461" t="s">
        <v>1455</v>
      </c>
      <c r="B461" t="s">
        <v>362</v>
      </c>
      <c r="C461" t="s">
        <v>1456</v>
      </c>
      <c r="D461" t="s">
        <v>21</v>
      </c>
      <c r="E461" t="s">
        <v>22</v>
      </c>
      <c r="F461" t="s">
        <v>96</v>
      </c>
      <c r="G461" t="s">
        <v>112</v>
      </c>
      <c r="H461" t="s">
        <v>147</v>
      </c>
      <c r="I461" t="s">
        <v>37</v>
      </c>
      <c r="J461" t="s">
        <v>59</v>
      </c>
      <c r="K461" t="s">
        <v>28</v>
      </c>
      <c r="L461" t="s">
        <v>85</v>
      </c>
      <c r="M461">
        <v>3</v>
      </c>
      <c r="N461">
        <v>22261</v>
      </c>
      <c r="O461">
        <v>66783</v>
      </c>
      <c r="P461">
        <v>113035</v>
      </c>
      <c r="Q461" t="s">
        <v>1457</v>
      </c>
      <c r="R461">
        <v>2027</v>
      </c>
    </row>
    <row r="462" spans="1:18" x14ac:dyDescent="0.3">
      <c r="A462" t="s">
        <v>1458</v>
      </c>
      <c r="B462" t="s">
        <v>362</v>
      </c>
      <c r="C462" t="s">
        <v>1459</v>
      </c>
      <c r="D462" t="s">
        <v>21</v>
      </c>
      <c r="E462" t="s">
        <v>44</v>
      </c>
      <c r="F462" t="s">
        <v>23</v>
      </c>
      <c r="G462" t="s">
        <v>83</v>
      </c>
      <c r="H462" t="s">
        <v>65</v>
      </c>
      <c r="I462" t="s">
        <v>37</v>
      </c>
      <c r="J462" t="s">
        <v>52</v>
      </c>
      <c r="K462" t="s">
        <v>71</v>
      </c>
      <c r="L462" t="s">
        <v>66</v>
      </c>
      <c r="M462">
        <v>5</v>
      </c>
      <c r="N462">
        <v>41842</v>
      </c>
      <c r="O462">
        <v>209210</v>
      </c>
      <c r="P462">
        <v>121392</v>
      </c>
      <c r="Q462" t="s">
        <v>1460</v>
      </c>
      <c r="R462">
        <v>2027</v>
      </c>
    </row>
    <row r="463" spans="1:18" x14ac:dyDescent="0.3">
      <c r="A463" t="s">
        <v>1461</v>
      </c>
      <c r="B463" t="s">
        <v>362</v>
      </c>
      <c r="C463" t="s">
        <v>1462</v>
      </c>
      <c r="D463" t="s">
        <v>33</v>
      </c>
      <c r="E463" t="s">
        <v>22</v>
      </c>
      <c r="F463" t="s">
        <v>75</v>
      </c>
      <c r="G463" t="s">
        <v>102</v>
      </c>
      <c r="H463" t="s">
        <v>84</v>
      </c>
      <c r="I463" t="s">
        <v>45</v>
      </c>
      <c r="J463" t="s">
        <v>27</v>
      </c>
      <c r="K463" t="s">
        <v>71</v>
      </c>
      <c r="L463" t="s">
        <v>60</v>
      </c>
      <c r="M463">
        <v>8</v>
      </c>
      <c r="N463">
        <v>10575</v>
      </c>
      <c r="O463">
        <v>84600</v>
      </c>
      <c r="P463">
        <v>83648</v>
      </c>
      <c r="Q463" t="s">
        <v>1463</v>
      </c>
      <c r="R463">
        <v>2027</v>
      </c>
    </row>
    <row r="464" spans="1:18" x14ac:dyDescent="0.3">
      <c r="A464" t="s">
        <v>1464</v>
      </c>
      <c r="B464" t="s">
        <v>362</v>
      </c>
      <c r="C464" t="s">
        <v>1465</v>
      </c>
      <c r="D464" t="s">
        <v>64</v>
      </c>
      <c r="E464" t="s">
        <v>44</v>
      </c>
      <c r="F464" t="s">
        <v>44</v>
      </c>
      <c r="G464" t="s">
        <v>112</v>
      </c>
      <c r="H464" t="s">
        <v>184</v>
      </c>
      <c r="I464" t="s">
        <v>45</v>
      </c>
      <c r="J464" t="s">
        <v>59</v>
      </c>
      <c r="K464" t="s">
        <v>28</v>
      </c>
      <c r="L464" t="s">
        <v>85</v>
      </c>
      <c r="M464">
        <v>9</v>
      </c>
      <c r="N464">
        <v>7769</v>
      </c>
      <c r="O464">
        <v>69921</v>
      </c>
      <c r="P464">
        <v>88759</v>
      </c>
      <c r="Q464" t="s">
        <v>1466</v>
      </c>
      <c r="R464">
        <v>2027</v>
      </c>
    </row>
    <row r="465" spans="1:18" x14ac:dyDescent="0.3">
      <c r="A465" t="s">
        <v>1467</v>
      </c>
      <c r="B465" t="s">
        <v>362</v>
      </c>
      <c r="C465" t="s">
        <v>1468</v>
      </c>
      <c r="D465" t="s">
        <v>21</v>
      </c>
      <c r="E465" t="s">
        <v>111</v>
      </c>
      <c r="F465" t="s">
        <v>23</v>
      </c>
      <c r="G465" t="s">
        <v>35</v>
      </c>
      <c r="H465" t="s">
        <v>218</v>
      </c>
      <c r="I465" t="s">
        <v>37</v>
      </c>
      <c r="J465" t="s">
        <v>27</v>
      </c>
      <c r="K465" t="s">
        <v>78</v>
      </c>
      <c r="L465" t="s">
        <v>117</v>
      </c>
      <c r="M465">
        <v>3</v>
      </c>
      <c r="N465">
        <v>14523</v>
      </c>
      <c r="O465">
        <v>43569</v>
      </c>
      <c r="P465">
        <v>25413</v>
      </c>
      <c r="Q465" t="s">
        <v>1469</v>
      </c>
      <c r="R465">
        <v>2027</v>
      </c>
    </row>
    <row r="466" spans="1:18" x14ac:dyDescent="0.3">
      <c r="A466" t="s">
        <v>1470</v>
      </c>
      <c r="B466" t="s">
        <v>362</v>
      </c>
      <c r="C466" t="s">
        <v>1471</v>
      </c>
      <c r="D466" t="s">
        <v>33</v>
      </c>
      <c r="E466" t="s">
        <v>44</v>
      </c>
      <c r="F466" t="s">
        <v>96</v>
      </c>
      <c r="G466" t="s">
        <v>102</v>
      </c>
      <c r="H466" t="s">
        <v>143</v>
      </c>
      <c r="I466" t="s">
        <v>77</v>
      </c>
      <c r="J466" t="s">
        <v>52</v>
      </c>
      <c r="K466" t="s">
        <v>28</v>
      </c>
      <c r="L466" t="s">
        <v>29</v>
      </c>
      <c r="M466">
        <v>1</v>
      </c>
      <c r="N466">
        <v>27883</v>
      </c>
      <c r="O466">
        <v>27883</v>
      </c>
      <c r="P466">
        <v>72373</v>
      </c>
      <c r="Q466" t="s">
        <v>208</v>
      </c>
      <c r="R466">
        <v>2027</v>
      </c>
    </row>
    <row r="467" spans="1:18" x14ac:dyDescent="0.3">
      <c r="A467" t="s">
        <v>1472</v>
      </c>
      <c r="B467" t="s">
        <v>362</v>
      </c>
      <c r="C467" t="s">
        <v>1473</v>
      </c>
      <c r="D467" t="s">
        <v>43</v>
      </c>
      <c r="E467" t="s">
        <v>111</v>
      </c>
      <c r="F467" t="s">
        <v>23</v>
      </c>
      <c r="G467" t="s">
        <v>97</v>
      </c>
      <c r="H467" t="s">
        <v>184</v>
      </c>
      <c r="I467" t="s">
        <v>26</v>
      </c>
      <c r="J467" t="s">
        <v>27</v>
      </c>
      <c r="K467" t="s">
        <v>71</v>
      </c>
      <c r="L467" t="s">
        <v>39</v>
      </c>
      <c r="M467">
        <v>5</v>
      </c>
      <c r="N467">
        <v>28749</v>
      </c>
      <c r="O467">
        <v>143745</v>
      </c>
      <c r="P467">
        <v>76467</v>
      </c>
      <c r="Q467" t="s">
        <v>1474</v>
      </c>
      <c r="R467">
        <v>2027</v>
      </c>
    </row>
    <row r="468" spans="1:18" x14ac:dyDescent="0.3">
      <c r="A468" t="s">
        <v>1475</v>
      </c>
      <c r="B468" t="s">
        <v>362</v>
      </c>
      <c r="C468" t="s">
        <v>1476</v>
      </c>
      <c r="D468" t="s">
        <v>33</v>
      </c>
      <c r="E468" t="s">
        <v>44</v>
      </c>
      <c r="F468" t="s">
        <v>96</v>
      </c>
      <c r="G468" t="s">
        <v>24</v>
      </c>
      <c r="H468" t="s">
        <v>76</v>
      </c>
      <c r="I468" t="s">
        <v>45</v>
      </c>
      <c r="J468" t="s">
        <v>59</v>
      </c>
      <c r="K468" t="s">
        <v>71</v>
      </c>
      <c r="L468" t="s">
        <v>53</v>
      </c>
      <c r="M468">
        <v>4</v>
      </c>
      <c r="N468">
        <v>38150</v>
      </c>
      <c r="O468">
        <v>152600</v>
      </c>
      <c r="P468">
        <v>85912</v>
      </c>
      <c r="Q468" t="s">
        <v>1477</v>
      </c>
      <c r="R468">
        <v>2027</v>
      </c>
    </row>
    <row r="469" spans="1:18" x14ac:dyDescent="0.3">
      <c r="A469" t="s">
        <v>1478</v>
      </c>
      <c r="B469" t="s">
        <v>362</v>
      </c>
      <c r="C469" t="s">
        <v>1479</v>
      </c>
      <c r="D469" t="s">
        <v>64</v>
      </c>
      <c r="E469" t="s">
        <v>44</v>
      </c>
      <c r="F469" t="s">
        <v>75</v>
      </c>
      <c r="G469" t="s">
        <v>112</v>
      </c>
      <c r="H469" t="s">
        <v>121</v>
      </c>
      <c r="I469" t="s">
        <v>26</v>
      </c>
      <c r="J469" t="s">
        <v>52</v>
      </c>
      <c r="K469" t="s">
        <v>78</v>
      </c>
      <c r="L469" t="s">
        <v>117</v>
      </c>
      <c r="M469">
        <v>3</v>
      </c>
      <c r="N469">
        <v>25399</v>
      </c>
      <c r="O469">
        <v>76197</v>
      </c>
      <c r="P469">
        <v>64866</v>
      </c>
      <c r="Q469" t="s">
        <v>1480</v>
      </c>
      <c r="R469">
        <v>2027</v>
      </c>
    </row>
    <row r="470" spans="1:18" x14ac:dyDescent="0.3">
      <c r="A470" t="s">
        <v>1481</v>
      </c>
      <c r="B470" t="s">
        <v>362</v>
      </c>
      <c r="C470" t="s">
        <v>1482</v>
      </c>
      <c r="D470" t="s">
        <v>43</v>
      </c>
      <c r="E470" t="s">
        <v>111</v>
      </c>
      <c r="F470" t="s">
        <v>34</v>
      </c>
      <c r="G470" t="s">
        <v>116</v>
      </c>
      <c r="H470" t="s">
        <v>103</v>
      </c>
      <c r="I470" t="s">
        <v>26</v>
      </c>
      <c r="J470" t="s">
        <v>27</v>
      </c>
      <c r="K470" t="s">
        <v>38</v>
      </c>
      <c r="L470" t="s">
        <v>117</v>
      </c>
      <c r="M470">
        <v>2</v>
      </c>
      <c r="N470">
        <v>34925</v>
      </c>
      <c r="O470">
        <v>69850</v>
      </c>
      <c r="P470">
        <v>35727</v>
      </c>
      <c r="Q470" t="s">
        <v>1483</v>
      </c>
      <c r="R470">
        <v>2027</v>
      </c>
    </row>
    <row r="471" spans="1:18" x14ac:dyDescent="0.3">
      <c r="A471" t="s">
        <v>1484</v>
      </c>
      <c r="B471" t="s">
        <v>362</v>
      </c>
      <c r="C471" t="s">
        <v>1485</v>
      </c>
      <c r="D471" t="s">
        <v>43</v>
      </c>
      <c r="E471" t="s">
        <v>22</v>
      </c>
      <c r="F471" t="s">
        <v>23</v>
      </c>
      <c r="G471" t="s">
        <v>35</v>
      </c>
      <c r="H471" t="s">
        <v>302</v>
      </c>
      <c r="I471" t="s">
        <v>45</v>
      </c>
      <c r="J471" t="s">
        <v>52</v>
      </c>
      <c r="K471" t="s">
        <v>71</v>
      </c>
      <c r="L471" t="s">
        <v>117</v>
      </c>
      <c r="M471">
        <v>4</v>
      </c>
      <c r="N471">
        <v>7786</v>
      </c>
      <c r="O471">
        <v>31144</v>
      </c>
      <c r="P471">
        <v>113601</v>
      </c>
      <c r="Q471" t="s">
        <v>1486</v>
      </c>
      <c r="R471">
        <v>2027</v>
      </c>
    </row>
    <row r="472" spans="1:18" x14ac:dyDescent="0.3">
      <c r="A472" t="s">
        <v>1487</v>
      </c>
      <c r="B472" t="s">
        <v>362</v>
      </c>
      <c r="C472" t="s">
        <v>1488</v>
      </c>
      <c r="D472" t="s">
        <v>33</v>
      </c>
      <c r="E472" t="s">
        <v>44</v>
      </c>
      <c r="F472" t="s">
        <v>44</v>
      </c>
      <c r="G472" t="s">
        <v>116</v>
      </c>
      <c r="H472" t="s">
        <v>200</v>
      </c>
      <c r="I472" t="s">
        <v>37</v>
      </c>
      <c r="J472" t="s">
        <v>59</v>
      </c>
      <c r="K472" t="s">
        <v>28</v>
      </c>
      <c r="L472" t="s">
        <v>66</v>
      </c>
      <c r="M472">
        <v>7</v>
      </c>
      <c r="N472">
        <v>39644</v>
      </c>
      <c r="O472">
        <v>277508</v>
      </c>
      <c r="P472">
        <v>117974</v>
      </c>
      <c r="Q472" t="s">
        <v>1489</v>
      </c>
      <c r="R472">
        <v>2027</v>
      </c>
    </row>
    <row r="473" spans="1:18" x14ac:dyDescent="0.3">
      <c r="A473" t="s">
        <v>1490</v>
      </c>
      <c r="B473" t="s">
        <v>362</v>
      </c>
      <c r="C473" t="s">
        <v>1491</v>
      </c>
      <c r="D473" t="s">
        <v>21</v>
      </c>
      <c r="E473" t="s">
        <v>82</v>
      </c>
      <c r="F473" t="s">
        <v>44</v>
      </c>
      <c r="G473" t="s">
        <v>83</v>
      </c>
      <c r="H473" t="s">
        <v>154</v>
      </c>
      <c r="I473" t="s">
        <v>77</v>
      </c>
      <c r="J473" t="s">
        <v>59</v>
      </c>
      <c r="K473" t="s">
        <v>38</v>
      </c>
      <c r="L473" t="s">
        <v>60</v>
      </c>
      <c r="M473">
        <v>8</v>
      </c>
      <c r="N473">
        <v>11350</v>
      </c>
      <c r="O473">
        <v>90800</v>
      </c>
      <c r="P473">
        <v>132416</v>
      </c>
      <c r="Q473" t="s">
        <v>1492</v>
      </c>
      <c r="R473">
        <v>2027</v>
      </c>
    </row>
    <row r="474" spans="1:18" x14ac:dyDescent="0.3">
      <c r="A474" t="s">
        <v>1493</v>
      </c>
      <c r="B474" t="s">
        <v>362</v>
      </c>
      <c r="C474" t="s">
        <v>1494</v>
      </c>
      <c r="D474" t="s">
        <v>33</v>
      </c>
      <c r="E474" t="s">
        <v>82</v>
      </c>
      <c r="F474" t="s">
        <v>96</v>
      </c>
      <c r="G474" t="s">
        <v>35</v>
      </c>
      <c r="H474" t="s">
        <v>232</v>
      </c>
      <c r="I474" t="s">
        <v>37</v>
      </c>
      <c r="J474" t="s">
        <v>59</v>
      </c>
      <c r="K474" t="s">
        <v>28</v>
      </c>
      <c r="L474" t="s">
        <v>29</v>
      </c>
      <c r="M474">
        <v>2</v>
      </c>
      <c r="N474">
        <v>35762</v>
      </c>
      <c r="O474">
        <v>71524</v>
      </c>
      <c r="P474">
        <v>60426</v>
      </c>
      <c r="Q474" t="s">
        <v>1495</v>
      </c>
      <c r="R474">
        <v>2027</v>
      </c>
    </row>
    <row r="475" spans="1:18" x14ac:dyDescent="0.3">
      <c r="A475" t="s">
        <v>1496</v>
      </c>
      <c r="B475" t="s">
        <v>362</v>
      </c>
      <c r="C475" t="s">
        <v>1497</v>
      </c>
      <c r="D475" t="s">
        <v>64</v>
      </c>
      <c r="E475" t="s">
        <v>82</v>
      </c>
      <c r="F475" t="s">
        <v>96</v>
      </c>
      <c r="G475" t="s">
        <v>112</v>
      </c>
      <c r="H475" t="s">
        <v>121</v>
      </c>
      <c r="I475" t="s">
        <v>45</v>
      </c>
      <c r="J475" t="s">
        <v>27</v>
      </c>
      <c r="K475" t="s">
        <v>71</v>
      </c>
      <c r="L475" t="s">
        <v>125</v>
      </c>
      <c r="M475">
        <v>6</v>
      </c>
      <c r="N475">
        <v>35362</v>
      </c>
      <c r="O475">
        <v>212172</v>
      </c>
      <c r="P475">
        <v>32711</v>
      </c>
      <c r="Q475" t="s">
        <v>1498</v>
      </c>
      <c r="R475">
        <v>2027</v>
      </c>
    </row>
    <row r="476" spans="1:18" x14ac:dyDescent="0.3">
      <c r="A476" t="s">
        <v>1499</v>
      </c>
      <c r="B476" t="s">
        <v>362</v>
      </c>
      <c r="C476" t="s">
        <v>1500</v>
      </c>
      <c r="D476" t="s">
        <v>43</v>
      </c>
      <c r="E476" t="s">
        <v>57</v>
      </c>
      <c r="F476" t="s">
        <v>75</v>
      </c>
      <c r="G476" t="s">
        <v>35</v>
      </c>
      <c r="H476" t="s">
        <v>309</v>
      </c>
      <c r="I476" t="s">
        <v>26</v>
      </c>
      <c r="J476" t="s">
        <v>27</v>
      </c>
      <c r="K476" t="s">
        <v>28</v>
      </c>
      <c r="L476" t="s">
        <v>85</v>
      </c>
      <c r="M476">
        <v>4</v>
      </c>
      <c r="N476">
        <v>47843</v>
      </c>
      <c r="O476">
        <v>191372</v>
      </c>
      <c r="P476">
        <v>22294</v>
      </c>
      <c r="Q476" t="s">
        <v>1501</v>
      </c>
      <c r="R476">
        <v>2027</v>
      </c>
    </row>
    <row r="477" spans="1:18" x14ac:dyDescent="0.3">
      <c r="A477" t="s">
        <v>1502</v>
      </c>
      <c r="B477" t="s">
        <v>362</v>
      </c>
      <c r="C477" t="s">
        <v>1503</v>
      </c>
      <c r="D477" t="s">
        <v>33</v>
      </c>
      <c r="E477" t="s">
        <v>49</v>
      </c>
      <c r="F477" t="s">
        <v>34</v>
      </c>
      <c r="G477" t="s">
        <v>24</v>
      </c>
      <c r="H477" t="s">
        <v>129</v>
      </c>
      <c r="I477" t="s">
        <v>26</v>
      </c>
      <c r="J477" t="s">
        <v>52</v>
      </c>
      <c r="K477" t="s">
        <v>38</v>
      </c>
      <c r="L477" t="s">
        <v>39</v>
      </c>
      <c r="M477">
        <v>8</v>
      </c>
      <c r="N477">
        <v>20319</v>
      </c>
      <c r="O477">
        <v>162552</v>
      </c>
      <c r="P477">
        <v>111976</v>
      </c>
      <c r="Q477" t="s">
        <v>1504</v>
      </c>
      <c r="R477">
        <v>2027</v>
      </c>
    </row>
    <row r="478" spans="1:18" x14ac:dyDescent="0.3">
      <c r="A478" t="s">
        <v>1505</v>
      </c>
      <c r="B478" t="s">
        <v>362</v>
      </c>
      <c r="C478" t="s">
        <v>1506</v>
      </c>
      <c r="D478" t="s">
        <v>64</v>
      </c>
      <c r="E478" t="s">
        <v>111</v>
      </c>
      <c r="F478" t="s">
        <v>23</v>
      </c>
      <c r="G478" t="s">
        <v>102</v>
      </c>
      <c r="H478" t="s">
        <v>228</v>
      </c>
      <c r="I478" t="s">
        <v>45</v>
      </c>
      <c r="J478" t="s">
        <v>52</v>
      </c>
      <c r="K478" t="s">
        <v>71</v>
      </c>
      <c r="L478" t="s">
        <v>29</v>
      </c>
      <c r="M478">
        <v>4</v>
      </c>
      <c r="N478">
        <v>48525</v>
      </c>
      <c r="O478">
        <v>194100</v>
      </c>
      <c r="P478">
        <v>45802</v>
      </c>
      <c r="Q478" t="s">
        <v>1507</v>
      </c>
      <c r="R478">
        <v>2027</v>
      </c>
    </row>
    <row r="479" spans="1:18" x14ac:dyDescent="0.3">
      <c r="A479" t="s">
        <v>1508</v>
      </c>
      <c r="B479" t="s">
        <v>362</v>
      </c>
      <c r="C479" t="s">
        <v>1509</v>
      </c>
      <c r="D479" t="s">
        <v>33</v>
      </c>
      <c r="E479" t="s">
        <v>44</v>
      </c>
      <c r="F479" t="s">
        <v>50</v>
      </c>
      <c r="G479" t="s">
        <v>102</v>
      </c>
      <c r="H479" t="s">
        <v>200</v>
      </c>
      <c r="I479" t="s">
        <v>26</v>
      </c>
      <c r="J479" t="s">
        <v>27</v>
      </c>
      <c r="K479" t="s">
        <v>38</v>
      </c>
      <c r="L479" t="s">
        <v>53</v>
      </c>
      <c r="M479">
        <v>8</v>
      </c>
      <c r="N479">
        <v>30060</v>
      </c>
      <c r="O479">
        <v>240480</v>
      </c>
      <c r="P479">
        <v>116341</v>
      </c>
      <c r="Q479" t="s">
        <v>1028</v>
      </c>
      <c r="R479">
        <v>2027</v>
      </c>
    </row>
    <row r="480" spans="1:18" x14ac:dyDescent="0.3">
      <c r="A480" t="s">
        <v>1510</v>
      </c>
      <c r="B480" t="s">
        <v>362</v>
      </c>
      <c r="C480" t="s">
        <v>1511</v>
      </c>
      <c r="D480" t="s">
        <v>64</v>
      </c>
      <c r="E480" t="s">
        <v>82</v>
      </c>
      <c r="F480" t="s">
        <v>23</v>
      </c>
      <c r="G480" t="s">
        <v>83</v>
      </c>
      <c r="H480" t="s">
        <v>51</v>
      </c>
      <c r="I480" t="s">
        <v>77</v>
      </c>
      <c r="J480" t="s">
        <v>59</v>
      </c>
      <c r="K480" t="s">
        <v>38</v>
      </c>
      <c r="L480" t="s">
        <v>29</v>
      </c>
      <c r="M480">
        <v>2</v>
      </c>
      <c r="N480">
        <v>46480</v>
      </c>
      <c r="O480">
        <v>92960</v>
      </c>
      <c r="P480">
        <v>145028</v>
      </c>
      <c r="Q480" t="s">
        <v>1512</v>
      </c>
      <c r="R480">
        <v>2027</v>
      </c>
    </row>
    <row r="481" spans="1:18" x14ac:dyDescent="0.3">
      <c r="A481" t="s">
        <v>1513</v>
      </c>
      <c r="B481" t="s">
        <v>362</v>
      </c>
      <c r="C481" t="s">
        <v>1514</v>
      </c>
      <c r="D481" t="s">
        <v>21</v>
      </c>
      <c r="E481" t="s">
        <v>44</v>
      </c>
      <c r="F481" t="s">
        <v>44</v>
      </c>
      <c r="G481" t="s">
        <v>24</v>
      </c>
      <c r="H481" t="s">
        <v>143</v>
      </c>
      <c r="I481" t="s">
        <v>37</v>
      </c>
      <c r="J481" t="s">
        <v>27</v>
      </c>
      <c r="K481" t="s">
        <v>78</v>
      </c>
      <c r="L481" t="s">
        <v>53</v>
      </c>
      <c r="M481">
        <v>5</v>
      </c>
      <c r="N481">
        <v>49375</v>
      </c>
      <c r="O481">
        <v>246875</v>
      </c>
      <c r="P481">
        <v>134349</v>
      </c>
      <c r="Q481" t="s">
        <v>1515</v>
      </c>
      <c r="R481">
        <v>2027</v>
      </c>
    </row>
    <row r="482" spans="1:18" x14ac:dyDescent="0.3">
      <c r="A482" t="s">
        <v>1516</v>
      </c>
      <c r="B482" t="s">
        <v>362</v>
      </c>
      <c r="C482" t="s">
        <v>1517</v>
      </c>
      <c r="D482" t="s">
        <v>43</v>
      </c>
      <c r="E482" t="s">
        <v>57</v>
      </c>
      <c r="F482" t="s">
        <v>44</v>
      </c>
      <c r="G482" t="s">
        <v>116</v>
      </c>
      <c r="H482" t="s">
        <v>70</v>
      </c>
      <c r="I482" t="s">
        <v>37</v>
      </c>
      <c r="J482" t="s">
        <v>59</v>
      </c>
      <c r="K482" t="s">
        <v>78</v>
      </c>
      <c r="L482" t="s">
        <v>60</v>
      </c>
      <c r="M482">
        <v>4</v>
      </c>
      <c r="N482">
        <v>20340</v>
      </c>
      <c r="O482">
        <v>81360</v>
      </c>
      <c r="P482">
        <v>128177</v>
      </c>
      <c r="Q482" t="s">
        <v>1518</v>
      </c>
      <c r="R482">
        <v>2027</v>
      </c>
    </row>
    <row r="483" spans="1:18" x14ac:dyDescent="0.3">
      <c r="A483" t="s">
        <v>1519</v>
      </c>
      <c r="B483" t="s">
        <v>362</v>
      </c>
      <c r="C483" t="s">
        <v>1520</v>
      </c>
      <c r="D483" t="s">
        <v>33</v>
      </c>
      <c r="E483" t="s">
        <v>44</v>
      </c>
      <c r="F483" t="s">
        <v>23</v>
      </c>
      <c r="G483" t="s">
        <v>24</v>
      </c>
      <c r="H483" t="s">
        <v>211</v>
      </c>
      <c r="I483" t="s">
        <v>37</v>
      </c>
      <c r="J483" t="s">
        <v>52</v>
      </c>
      <c r="K483" t="s">
        <v>28</v>
      </c>
      <c r="L483" t="s">
        <v>60</v>
      </c>
      <c r="M483">
        <v>4</v>
      </c>
      <c r="N483">
        <v>17310</v>
      </c>
      <c r="O483">
        <v>69240</v>
      </c>
      <c r="P483">
        <v>101350</v>
      </c>
      <c r="Q483" t="s">
        <v>1521</v>
      </c>
      <c r="R483">
        <v>2027</v>
      </c>
    </row>
    <row r="484" spans="1:18" x14ac:dyDescent="0.3">
      <c r="A484" t="s">
        <v>1522</v>
      </c>
      <c r="B484" t="s">
        <v>362</v>
      </c>
      <c r="C484" t="s">
        <v>1523</v>
      </c>
      <c r="D484" t="s">
        <v>43</v>
      </c>
      <c r="E484" t="s">
        <v>82</v>
      </c>
      <c r="F484" t="s">
        <v>50</v>
      </c>
      <c r="G484" t="s">
        <v>35</v>
      </c>
      <c r="H484" t="s">
        <v>211</v>
      </c>
      <c r="I484" t="s">
        <v>45</v>
      </c>
      <c r="J484" t="s">
        <v>27</v>
      </c>
      <c r="K484" t="s">
        <v>28</v>
      </c>
      <c r="L484" t="s">
        <v>53</v>
      </c>
      <c r="M484">
        <v>1</v>
      </c>
      <c r="N484">
        <v>36990</v>
      </c>
      <c r="O484">
        <v>36990</v>
      </c>
      <c r="P484">
        <v>86797</v>
      </c>
      <c r="Q484" t="s">
        <v>1524</v>
      </c>
      <c r="R484">
        <v>2027</v>
      </c>
    </row>
    <row r="485" spans="1:18" x14ac:dyDescent="0.3">
      <c r="A485" t="s">
        <v>1525</v>
      </c>
      <c r="B485" t="s">
        <v>362</v>
      </c>
      <c r="C485" t="s">
        <v>1526</v>
      </c>
      <c r="D485" t="s">
        <v>64</v>
      </c>
      <c r="E485" t="s">
        <v>49</v>
      </c>
      <c r="F485" t="s">
        <v>44</v>
      </c>
      <c r="G485" t="s">
        <v>116</v>
      </c>
      <c r="H485" t="s">
        <v>376</v>
      </c>
      <c r="I485" t="s">
        <v>45</v>
      </c>
      <c r="J485" t="s">
        <v>52</v>
      </c>
      <c r="K485" t="s">
        <v>78</v>
      </c>
      <c r="L485" t="s">
        <v>66</v>
      </c>
      <c r="M485">
        <v>5</v>
      </c>
      <c r="N485">
        <v>1552</v>
      </c>
      <c r="O485">
        <v>7760</v>
      </c>
      <c r="P485">
        <v>95839</v>
      </c>
      <c r="Q485" t="s">
        <v>1527</v>
      </c>
      <c r="R485">
        <v>2027</v>
      </c>
    </row>
    <row r="486" spans="1:18" x14ac:dyDescent="0.3">
      <c r="A486" t="s">
        <v>1528</v>
      </c>
      <c r="B486" t="s">
        <v>362</v>
      </c>
      <c r="C486" t="s">
        <v>1529</v>
      </c>
      <c r="D486" t="s">
        <v>43</v>
      </c>
      <c r="E486" t="s">
        <v>82</v>
      </c>
      <c r="F486" t="s">
        <v>96</v>
      </c>
      <c r="G486" t="s">
        <v>83</v>
      </c>
      <c r="H486" t="s">
        <v>184</v>
      </c>
      <c r="I486" t="s">
        <v>45</v>
      </c>
      <c r="J486" t="s">
        <v>27</v>
      </c>
      <c r="K486" t="s">
        <v>38</v>
      </c>
      <c r="L486" t="s">
        <v>66</v>
      </c>
      <c r="M486">
        <v>1</v>
      </c>
      <c r="N486">
        <v>37181</v>
      </c>
      <c r="O486">
        <v>37181</v>
      </c>
      <c r="P486">
        <v>87206</v>
      </c>
      <c r="Q486" t="s">
        <v>1530</v>
      </c>
      <c r="R486">
        <v>2027</v>
      </c>
    </row>
    <row r="487" spans="1:18" x14ac:dyDescent="0.3">
      <c r="A487" t="s">
        <v>1531</v>
      </c>
      <c r="B487" t="s">
        <v>454</v>
      </c>
      <c r="C487" t="s">
        <v>1532</v>
      </c>
      <c r="D487" t="s">
        <v>64</v>
      </c>
      <c r="E487" t="s">
        <v>57</v>
      </c>
      <c r="F487" t="s">
        <v>50</v>
      </c>
      <c r="G487" t="s">
        <v>112</v>
      </c>
      <c r="H487" t="s">
        <v>232</v>
      </c>
      <c r="I487" t="s">
        <v>37</v>
      </c>
      <c r="J487" t="s">
        <v>59</v>
      </c>
      <c r="K487" t="s">
        <v>38</v>
      </c>
      <c r="L487" t="s">
        <v>125</v>
      </c>
      <c r="M487">
        <v>5</v>
      </c>
      <c r="N487">
        <v>46937</v>
      </c>
      <c r="O487">
        <v>234685</v>
      </c>
      <c r="P487">
        <v>110360</v>
      </c>
      <c r="Q487" t="s">
        <v>1533</v>
      </c>
      <c r="R487">
        <v>2027</v>
      </c>
    </row>
    <row r="488" spans="1:18" x14ac:dyDescent="0.3">
      <c r="A488" t="s">
        <v>1534</v>
      </c>
      <c r="B488" t="s">
        <v>454</v>
      </c>
      <c r="C488" t="s">
        <v>1535</v>
      </c>
      <c r="D488" t="s">
        <v>64</v>
      </c>
      <c r="E488" t="s">
        <v>111</v>
      </c>
      <c r="F488" t="s">
        <v>96</v>
      </c>
      <c r="G488" t="s">
        <v>35</v>
      </c>
      <c r="H488" t="s">
        <v>298</v>
      </c>
      <c r="I488" t="s">
        <v>37</v>
      </c>
      <c r="J488" t="s">
        <v>52</v>
      </c>
      <c r="K488" t="s">
        <v>38</v>
      </c>
      <c r="L488" t="s">
        <v>60</v>
      </c>
      <c r="M488">
        <v>1</v>
      </c>
      <c r="N488">
        <v>49634</v>
      </c>
      <c r="O488">
        <v>49634</v>
      </c>
      <c r="P488">
        <v>103828</v>
      </c>
      <c r="Q488" t="s">
        <v>1536</v>
      </c>
      <c r="R488">
        <v>2027</v>
      </c>
    </row>
    <row r="489" spans="1:18" x14ac:dyDescent="0.3">
      <c r="A489" t="s">
        <v>1537</v>
      </c>
      <c r="B489" t="s">
        <v>454</v>
      </c>
      <c r="C489" t="s">
        <v>1538</v>
      </c>
      <c r="D489" t="s">
        <v>64</v>
      </c>
      <c r="E489" t="s">
        <v>111</v>
      </c>
      <c r="F489" t="s">
        <v>96</v>
      </c>
      <c r="G489" t="s">
        <v>112</v>
      </c>
      <c r="H489" t="s">
        <v>143</v>
      </c>
      <c r="I489" t="s">
        <v>26</v>
      </c>
      <c r="J489" t="s">
        <v>52</v>
      </c>
      <c r="K489" t="s">
        <v>71</v>
      </c>
      <c r="L489" t="s">
        <v>66</v>
      </c>
      <c r="M489">
        <v>9</v>
      </c>
      <c r="N489">
        <v>38875</v>
      </c>
      <c r="O489">
        <v>349875</v>
      </c>
      <c r="P489">
        <v>32550</v>
      </c>
      <c r="Q489" t="s">
        <v>1539</v>
      </c>
      <c r="R489">
        <v>2027</v>
      </c>
    </row>
    <row r="490" spans="1:18" x14ac:dyDescent="0.3">
      <c r="A490" t="s">
        <v>1540</v>
      </c>
      <c r="B490" t="s">
        <v>454</v>
      </c>
      <c r="C490" t="s">
        <v>1541</v>
      </c>
      <c r="D490" t="s">
        <v>21</v>
      </c>
      <c r="E490" t="s">
        <v>44</v>
      </c>
      <c r="F490" t="s">
        <v>34</v>
      </c>
      <c r="G490" t="s">
        <v>89</v>
      </c>
      <c r="H490" t="s">
        <v>107</v>
      </c>
      <c r="I490" t="s">
        <v>45</v>
      </c>
      <c r="J490" t="s">
        <v>59</v>
      </c>
      <c r="K490" t="s">
        <v>78</v>
      </c>
      <c r="L490" t="s">
        <v>60</v>
      </c>
      <c r="M490">
        <v>10</v>
      </c>
      <c r="N490">
        <v>37644</v>
      </c>
      <c r="O490">
        <v>376440</v>
      </c>
      <c r="P490">
        <v>147442</v>
      </c>
      <c r="Q490" t="s">
        <v>1542</v>
      </c>
      <c r="R490">
        <v>2027</v>
      </c>
    </row>
    <row r="491" spans="1:18" x14ac:dyDescent="0.3">
      <c r="A491" t="s">
        <v>1543</v>
      </c>
      <c r="B491" t="s">
        <v>454</v>
      </c>
      <c r="C491" t="s">
        <v>1544</v>
      </c>
      <c r="D491" t="s">
        <v>33</v>
      </c>
      <c r="E491" t="s">
        <v>82</v>
      </c>
      <c r="F491" t="s">
        <v>44</v>
      </c>
      <c r="G491" t="s">
        <v>83</v>
      </c>
      <c r="H491" t="s">
        <v>76</v>
      </c>
      <c r="I491" t="s">
        <v>77</v>
      </c>
      <c r="J491" t="s">
        <v>59</v>
      </c>
      <c r="K491" t="s">
        <v>71</v>
      </c>
      <c r="L491" t="s">
        <v>66</v>
      </c>
      <c r="M491">
        <v>9</v>
      </c>
      <c r="N491">
        <v>46725</v>
      </c>
      <c r="O491">
        <v>420525</v>
      </c>
      <c r="P491">
        <v>58930</v>
      </c>
      <c r="Q491" t="s">
        <v>1545</v>
      </c>
      <c r="R491">
        <v>2027</v>
      </c>
    </row>
    <row r="492" spans="1:18" x14ac:dyDescent="0.3">
      <c r="A492" t="s">
        <v>1546</v>
      </c>
      <c r="B492" t="s">
        <v>454</v>
      </c>
      <c r="C492" t="s">
        <v>1547</v>
      </c>
      <c r="D492" t="s">
        <v>64</v>
      </c>
      <c r="E492" t="s">
        <v>49</v>
      </c>
      <c r="F492" t="s">
        <v>23</v>
      </c>
      <c r="G492" t="s">
        <v>83</v>
      </c>
      <c r="H492" t="s">
        <v>58</v>
      </c>
      <c r="I492" t="s">
        <v>26</v>
      </c>
      <c r="J492" t="s">
        <v>52</v>
      </c>
      <c r="K492" t="s">
        <v>78</v>
      </c>
      <c r="L492" t="s">
        <v>60</v>
      </c>
      <c r="M492">
        <v>7</v>
      </c>
      <c r="N492">
        <v>6070</v>
      </c>
      <c r="O492">
        <v>42490</v>
      </c>
      <c r="P492">
        <v>134776</v>
      </c>
      <c r="Q492" t="s">
        <v>1548</v>
      </c>
      <c r="R492">
        <v>2027</v>
      </c>
    </row>
    <row r="493" spans="1:18" x14ac:dyDescent="0.3">
      <c r="A493" t="s">
        <v>1549</v>
      </c>
      <c r="B493" t="s">
        <v>454</v>
      </c>
      <c r="C493" t="s">
        <v>1550</v>
      </c>
      <c r="D493" t="s">
        <v>64</v>
      </c>
      <c r="E493" t="s">
        <v>22</v>
      </c>
      <c r="F493" t="s">
        <v>34</v>
      </c>
      <c r="G493" t="s">
        <v>102</v>
      </c>
      <c r="H493" t="s">
        <v>25</v>
      </c>
      <c r="I493" t="s">
        <v>77</v>
      </c>
      <c r="J493" t="s">
        <v>27</v>
      </c>
      <c r="K493" t="s">
        <v>38</v>
      </c>
      <c r="L493" t="s">
        <v>39</v>
      </c>
      <c r="M493">
        <v>1</v>
      </c>
      <c r="N493">
        <v>41346</v>
      </c>
      <c r="O493">
        <v>41346</v>
      </c>
      <c r="P493">
        <v>88281</v>
      </c>
      <c r="Q493" t="s">
        <v>1551</v>
      </c>
      <c r="R493">
        <v>2027</v>
      </c>
    </row>
    <row r="494" spans="1:18" x14ac:dyDescent="0.3">
      <c r="A494" t="s">
        <v>1552</v>
      </c>
      <c r="B494" t="s">
        <v>454</v>
      </c>
      <c r="C494" t="s">
        <v>1553</v>
      </c>
      <c r="D494" t="s">
        <v>21</v>
      </c>
      <c r="E494" t="s">
        <v>44</v>
      </c>
      <c r="F494" t="s">
        <v>75</v>
      </c>
      <c r="G494" t="s">
        <v>83</v>
      </c>
      <c r="H494" t="s">
        <v>58</v>
      </c>
      <c r="I494" t="s">
        <v>77</v>
      </c>
      <c r="J494" t="s">
        <v>27</v>
      </c>
      <c r="K494" t="s">
        <v>38</v>
      </c>
      <c r="L494" t="s">
        <v>39</v>
      </c>
      <c r="M494">
        <v>1</v>
      </c>
      <c r="N494">
        <v>39773</v>
      </c>
      <c r="O494">
        <v>39773</v>
      </c>
      <c r="P494">
        <v>35477</v>
      </c>
      <c r="Q494" t="s">
        <v>155</v>
      </c>
      <c r="R494">
        <v>2027</v>
      </c>
    </row>
    <row r="495" spans="1:18" x14ac:dyDescent="0.3">
      <c r="A495" t="s">
        <v>1554</v>
      </c>
      <c r="B495" t="s">
        <v>454</v>
      </c>
      <c r="C495" t="s">
        <v>1555</v>
      </c>
      <c r="D495" t="s">
        <v>64</v>
      </c>
      <c r="E495" t="s">
        <v>82</v>
      </c>
      <c r="F495" t="s">
        <v>50</v>
      </c>
      <c r="G495" t="s">
        <v>116</v>
      </c>
      <c r="H495" t="s">
        <v>70</v>
      </c>
      <c r="I495" t="s">
        <v>45</v>
      </c>
      <c r="J495" t="s">
        <v>27</v>
      </c>
      <c r="K495" t="s">
        <v>71</v>
      </c>
      <c r="L495" t="s">
        <v>125</v>
      </c>
      <c r="M495">
        <v>5</v>
      </c>
      <c r="N495">
        <v>38230</v>
      </c>
      <c r="O495">
        <v>191150</v>
      </c>
      <c r="P495">
        <v>106635</v>
      </c>
      <c r="Q495" t="s">
        <v>706</v>
      </c>
      <c r="R495">
        <v>2027</v>
      </c>
    </row>
    <row r="496" spans="1:18" x14ac:dyDescent="0.3">
      <c r="A496" t="s">
        <v>1556</v>
      </c>
      <c r="B496" t="s">
        <v>454</v>
      </c>
      <c r="C496" t="s">
        <v>1557</v>
      </c>
      <c r="D496" t="s">
        <v>21</v>
      </c>
      <c r="E496" t="s">
        <v>111</v>
      </c>
      <c r="F496" t="s">
        <v>75</v>
      </c>
      <c r="G496" t="s">
        <v>35</v>
      </c>
      <c r="H496" t="s">
        <v>154</v>
      </c>
      <c r="I496" t="s">
        <v>26</v>
      </c>
      <c r="J496" t="s">
        <v>52</v>
      </c>
      <c r="K496" t="s">
        <v>71</v>
      </c>
      <c r="L496" t="s">
        <v>53</v>
      </c>
      <c r="M496">
        <v>3</v>
      </c>
      <c r="N496">
        <v>26221</v>
      </c>
      <c r="O496">
        <v>78663</v>
      </c>
      <c r="P496">
        <v>86006</v>
      </c>
      <c r="Q496" t="s">
        <v>1108</v>
      </c>
      <c r="R496">
        <v>2027</v>
      </c>
    </row>
    <row r="497" spans="1:18" x14ac:dyDescent="0.3">
      <c r="A497" t="s">
        <v>1558</v>
      </c>
      <c r="B497" t="s">
        <v>454</v>
      </c>
      <c r="C497" t="s">
        <v>1559</v>
      </c>
      <c r="D497" t="s">
        <v>43</v>
      </c>
      <c r="E497" t="s">
        <v>111</v>
      </c>
      <c r="F497" t="s">
        <v>50</v>
      </c>
      <c r="G497" t="s">
        <v>102</v>
      </c>
      <c r="H497" t="s">
        <v>51</v>
      </c>
      <c r="I497" t="s">
        <v>26</v>
      </c>
      <c r="J497" t="s">
        <v>52</v>
      </c>
      <c r="K497" t="s">
        <v>38</v>
      </c>
      <c r="L497" t="s">
        <v>85</v>
      </c>
      <c r="M497">
        <v>2</v>
      </c>
      <c r="N497">
        <v>21685</v>
      </c>
      <c r="O497">
        <v>43370</v>
      </c>
      <c r="P497">
        <v>110704</v>
      </c>
      <c r="Q497" t="s">
        <v>1560</v>
      </c>
      <c r="R497">
        <v>2027</v>
      </c>
    </row>
    <row r="498" spans="1:18" x14ac:dyDescent="0.3">
      <c r="A498" t="s">
        <v>1561</v>
      </c>
      <c r="B498" t="s">
        <v>454</v>
      </c>
      <c r="C498" t="s">
        <v>1562</v>
      </c>
      <c r="D498" t="s">
        <v>43</v>
      </c>
      <c r="E498" t="s">
        <v>44</v>
      </c>
      <c r="F498" t="s">
        <v>44</v>
      </c>
      <c r="G498" t="s">
        <v>89</v>
      </c>
      <c r="H498" t="s">
        <v>147</v>
      </c>
      <c r="I498" t="s">
        <v>77</v>
      </c>
      <c r="J498" t="s">
        <v>27</v>
      </c>
      <c r="K498" t="s">
        <v>28</v>
      </c>
      <c r="L498" t="s">
        <v>39</v>
      </c>
      <c r="M498">
        <v>9</v>
      </c>
      <c r="N498">
        <v>23525</v>
      </c>
      <c r="O498">
        <v>211725</v>
      </c>
      <c r="P498">
        <v>140915</v>
      </c>
      <c r="Q498" t="s">
        <v>1563</v>
      </c>
      <c r="R498">
        <v>2027</v>
      </c>
    </row>
    <row r="499" spans="1:18" x14ac:dyDescent="0.3">
      <c r="A499" t="s">
        <v>1564</v>
      </c>
      <c r="B499" t="s">
        <v>454</v>
      </c>
      <c r="C499" t="s">
        <v>1565</v>
      </c>
      <c r="D499" t="s">
        <v>33</v>
      </c>
      <c r="E499" t="s">
        <v>49</v>
      </c>
      <c r="F499" t="s">
        <v>50</v>
      </c>
      <c r="G499" t="s">
        <v>102</v>
      </c>
      <c r="H499" t="s">
        <v>177</v>
      </c>
      <c r="I499" t="s">
        <v>26</v>
      </c>
      <c r="J499" t="s">
        <v>27</v>
      </c>
      <c r="K499" t="s">
        <v>78</v>
      </c>
      <c r="L499" t="s">
        <v>125</v>
      </c>
      <c r="M499">
        <v>5</v>
      </c>
      <c r="N499">
        <v>38298</v>
      </c>
      <c r="O499">
        <v>191490</v>
      </c>
      <c r="P499">
        <v>92766</v>
      </c>
      <c r="Q499" t="s">
        <v>1566</v>
      </c>
      <c r="R499">
        <v>2027</v>
      </c>
    </row>
    <row r="500" spans="1:18" x14ac:dyDescent="0.3">
      <c r="A500" t="s">
        <v>1567</v>
      </c>
      <c r="B500" t="s">
        <v>454</v>
      </c>
      <c r="C500" t="s">
        <v>1568</v>
      </c>
      <c r="D500" t="s">
        <v>43</v>
      </c>
      <c r="E500" t="s">
        <v>44</v>
      </c>
      <c r="F500" t="s">
        <v>23</v>
      </c>
      <c r="G500" t="s">
        <v>97</v>
      </c>
      <c r="H500" t="s">
        <v>107</v>
      </c>
      <c r="I500" t="s">
        <v>45</v>
      </c>
      <c r="J500" t="s">
        <v>52</v>
      </c>
      <c r="K500" t="s">
        <v>71</v>
      </c>
      <c r="L500" t="s">
        <v>53</v>
      </c>
      <c r="M500">
        <v>6</v>
      </c>
      <c r="N500">
        <v>36505</v>
      </c>
      <c r="O500">
        <v>219030</v>
      </c>
      <c r="P500">
        <v>142231</v>
      </c>
      <c r="Q500" t="s">
        <v>1569</v>
      </c>
      <c r="R500">
        <v>2027</v>
      </c>
    </row>
    <row r="501" spans="1:18" x14ac:dyDescent="0.3">
      <c r="A501" t="s">
        <v>1570</v>
      </c>
      <c r="B501" t="s">
        <v>454</v>
      </c>
      <c r="C501" t="s">
        <v>1571</v>
      </c>
      <c r="D501" t="s">
        <v>64</v>
      </c>
      <c r="E501" t="s">
        <v>57</v>
      </c>
      <c r="F501" t="s">
        <v>23</v>
      </c>
      <c r="G501" t="s">
        <v>83</v>
      </c>
      <c r="H501" t="s">
        <v>76</v>
      </c>
      <c r="I501" t="s">
        <v>77</v>
      </c>
      <c r="J501" t="s">
        <v>59</v>
      </c>
      <c r="K501" t="s">
        <v>28</v>
      </c>
      <c r="L501" t="s">
        <v>117</v>
      </c>
      <c r="M501">
        <v>2</v>
      </c>
      <c r="N501">
        <v>5799</v>
      </c>
      <c r="O501">
        <v>11598</v>
      </c>
      <c r="P501">
        <v>53188</v>
      </c>
      <c r="Q501" t="s">
        <v>1572</v>
      </c>
      <c r="R501">
        <v>2027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327BB-DDF8-4E00-9DFF-EE4DF4DCEFA0}">
  <sheetPr codeName="Sheet3"/>
  <dimension ref="A2:L44"/>
  <sheetViews>
    <sheetView workbookViewId="0">
      <selection activeCell="AA33" sqref="AA33"/>
    </sheetView>
  </sheetViews>
  <sheetFormatPr defaultRowHeight="14.4" x14ac:dyDescent="0.3"/>
  <cols>
    <col min="1" max="1" width="10.5546875" bestFit="1" customWidth="1"/>
    <col min="2" max="2" width="14.88671875" bestFit="1" customWidth="1"/>
    <col min="3" max="3" width="10.21875" bestFit="1" customWidth="1"/>
    <col min="6" max="6" width="11.21875" bestFit="1" customWidth="1"/>
    <col min="7" max="7" width="15.33203125" bestFit="1" customWidth="1"/>
    <col min="11" max="11" width="19.33203125" bestFit="1" customWidth="1"/>
    <col min="12" max="12" width="10.109375" bestFit="1" customWidth="1"/>
    <col min="13" max="13" width="15.5546875" bestFit="1" customWidth="1"/>
    <col min="14" max="14" width="11.109375" bestFit="1" customWidth="1"/>
    <col min="15" max="15" width="20" bestFit="1" customWidth="1"/>
  </cols>
  <sheetData>
    <row r="2" spans="1:12" x14ac:dyDescent="0.3">
      <c r="B2" t="s">
        <v>1574</v>
      </c>
      <c r="C2" t="s">
        <v>1575</v>
      </c>
      <c r="G2" t="s">
        <v>1578</v>
      </c>
    </row>
    <row r="3" spans="1:12" x14ac:dyDescent="0.3">
      <c r="A3" t="s">
        <v>19</v>
      </c>
      <c r="B3" s="1">
        <v>9493746</v>
      </c>
      <c r="C3" s="1">
        <v>4999321</v>
      </c>
      <c r="F3" t="s">
        <v>78</v>
      </c>
      <c r="G3" s="1">
        <v>18170756</v>
      </c>
    </row>
    <row r="4" spans="1:12" x14ac:dyDescent="0.3">
      <c r="A4" t="s">
        <v>172</v>
      </c>
      <c r="B4" s="1">
        <v>7469619</v>
      </c>
      <c r="C4" s="1">
        <v>4330573</v>
      </c>
      <c r="F4" t="s">
        <v>38</v>
      </c>
      <c r="G4" s="1">
        <v>16923957</v>
      </c>
    </row>
    <row r="5" spans="1:12" x14ac:dyDescent="0.3">
      <c r="A5" t="s">
        <v>265</v>
      </c>
      <c r="B5" s="1">
        <v>8819336</v>
      </c>
      <c r="C5" s="1">
        <v>5403755</v>
      </c>
      <c r="F5" t="s">
        <v>71</v>
      </c>
      <c r="G5" s="1">
        <v>20510561</v>
      </c>
      <c r="K5" t="s">
        <v>1574</v>
      </c>
      <c r="L5" s="1">
        <v>71178664</v>
      </c>
    </row>
    <row r="6" spans="1:12" x14ac:dyDescent="0.3">
      <c r="A6" t="s">
        <v>362</v>
      </c>
      <c r="B6" s="1">
        <v>8476507</v>
      </c>
      <c r="C6" s="1">
        <v>5634820</v>
      </c>
      <c r="F6" t="s">
        <v>28</v>
      </c>
      <c r="G6" s="1">
        <v>15573390</v>
      </c>
      <c r="K6" t="s">
        <v>1575</v>
      </c>
      <c r="L6" s="1">
        <v>41693329</v>
      </c>
    </row>
    <row r="7" spans="1:12" x14ac:dyDescent="0.3">
      <c r="A7" t="s">
        <v>454</v>
      </c>
      <c r="B7" s="1">
        <v>6649707</v>
      </c>
      <c r="C7" s="1">
        <v>4104414</v>
      </c>
      <c r="F7" t="s">
        <v>1573</v>
      </c>
      <c r="G7" s="1">
        <v>71178664</v>
      </c>
      <c r="K7" t="s">
        <v>1582</v>
      </c>
      <c r="L7" s="1">
        <v>500</v>
      </c>
    </row>
    <row r="8" spans="1:12" x14ac:dyDescent="0.3">
      <c r="A8" t="s">
        <v>546</v>
      </c>
      <c r="B8" s="1">
        <v>5093440</v>
      </c>
      <c r="C8" s="1">
        <v>2367743</v>
      </c>
      <c r="K8" t="s">
        <v>1583</v>
      </c>
      <c r="L8" s="2">
        <v>1.7071955084229422</v>
      </c>
    </row>
    <row r="9" spans="1:12" x14ac:dyDescent="0.3">
      <c r="A9" t="s">
        <v>637</v>
      </c>
      <c r="B9" s="1">
        <v>3925481</v>
      </c>
      <c r="C9" s="1">
        <v>2619776</v>
      </c>
      <c r="K9" t="s">
        <v>1581</v>
      </c>
      <c r="L9" s="1">
        <v>2716</v>
      </c>
    </row>
    <row r="10" spans="1:12" x14ac:dyDescent="0.3">
      <c r="A10" t="s">
        <v>729</v>
      </c>
      <c r="B10" s="1">
        <v>3595391</v>
      </c>
      <c r="C10" s="1">
        <v>2679841</v>
      </c>
    </row>
    <row r="11" spans="1:12" x14ac:dyDescent="0.3">
      <c r="A11" t="s">
        <v>819</v>
      </c>
      <c r="B11" s="1">
        <v>4710433</v>
      </c>
      <c r="C11" s="1">
        <v>2617244</v>
      </c>
    </row>
    <row r="12" spans="1:12" x14ac:dyDescent="0.3">
      <c r="A12" t="s">
        <v>910</v>
      </c>
      <c r="B12" s="1">
        <v>4845693</v>
      </c>
      <c r="C12" s="1">
        <v>2152060</v>
      </c>
    </row>
    <row r="13" spans="1:12" x14ac:dyDescent="0.3">
      <c r="A13" t="s">
        <v>1002</v>
      </c>
      <c r="B13" s="1">
        <v>3461741</v>
      </c>
      <c r="C13" s="1">
        <v>2683220</v>
      </c>
    </row>
    <row r="14" spans="1:12" x14ac:dyDescent="0.3">
      <c r="A14" t="s">
        <v>1091</v>
      </c>
      <c r="B14" s="1">
        <v>4637570</v>
      </c>
      <c r="C14" s="1">
        <v>2100562</v>
      </c>
    </row>
    <row r="15" spans="1:12" x14ac:dyDescent="0.3">
      <c r="A15" t="s">
        <v>1573</v>
      </c>
      <c r="B15" s="1">
        <v>71178664</v>
      </c>
      <c r="C15" s="1">
        <v>41693329</v>
      </c>
    </row>
    <row r="20" spans="1:7" x14ac:dyDescent="0.3">
      <c r="B20" t="s">
        <v>1576</v>
      </c>
      <c r="G20" t="s">
        <v>1579</v>
      </c>
    </row>
    <row r="21" spans="1:7" x14ac:dyDescent="0.3">
      <c r="A21" t="s">
        <v>43</v>
      </c>
      <c r="B21" s="1">
        <v>18668414</v>
      </c>
      <c r="F21" t="s">
        <v>27</v>
      </c>
      <c r="G21" s="1">
        <v>20118169</v>
      </c>
    </row>
    <row r="22" spans="1:7" x14ac:dyDescent="0.3">
      <c r="A22" t="s">
        <v>64</v>
      </c>
      <c r="B22" s="1">
        <v>17711065</v>
      </c>
      <c r="F22" t="s">
        <v>59</v>
      </c>
      <c r="G22" s="1">
        <v>24476598</v>
      </c>
    </row>
    <row r="23" spans="1:7" x14ac:dyDescent="0.3">
      <c r="A23" t="s">
        <v>21</v>
      </c>
      <c r="B23" s="1">
        <v>17726570</v>
      </c>
      <c r="F23" t="s">
        <v>52</v>
      </c>
      <c r="G23" s="1">
        <v>26583897</v>
      </c>
    </row>
    <row r="24" spans="1:7" x14ac:dyDescent="0.3">
      <c r="A24" t="s">
        <v>33</v>
      </c>
      <c r="B24" s="1">
        <v>17072615</v>
      </c>
      <c r="F24" t="s">
        <v>1573</v>
      </c>
      <c r="G24" s="1">
        <v>71178664</v>
      </c>
    </row>
    <row r="25" spans="1:7" x14ac:dyDescent="0.3">
      <c r="A25" t="s">
        <v>1573</v>
      </c>
      <c r="B25" s="1">
        <v>71178664</v>
      </c>
    </row>
    <row r="35" spans="1:7" x14ac:dyDescent="0.3">
      <c r="B35" t="s">
        <v>1577</v>
      </c>
      <c r="G35" t="s">
        <v>1580</v>
      </c>
    </row>
    <row r="36" spans="1:7" x14ac:dyDescent="0.3">
      <c r="A36" t="s">
        <v>24</v>
      </c>
      <c r="B36" s="1">
        <v>10984676</v>
      </c>
      <c r="F36" t="s">
        <v>53</v>
      </c>
      <c r="G36" s="1">
        <v>8039395</v>
      </c>
    </row>
    <row r="37" spans="1:7" x14ac:dyDescent="0.3">
      <c r="A37" t="s">
        <v>83</v>
      </c>
      <c r="B37" s="1">
        <v>10081357</v>
      </c>
      <c r="F37" t="s">
        <v>29</v>
      </c>
      <c r="G37" s="1">
        <v>10370889</v>
      </c>
    </row>
    <row r="38" spans="1:7" x14ac:dyDescent="0.3">
      <c r="A38" t="s">
        <v>97</v>
      </c>
      <c r="B38" s="1">
        <v>7783994</v>
      </c>
      <c r="F38" t="s">
        <v>60</v>
      </c>
      <c r="G38" s="1">
        <v>10094895</v>
      </c>
    </row>
    <row r="39" spans="1:7" x14ac:dyDescent="0.3">
      <c r="A39" t="s">
        <v>112</v>
      </c>
      <c r="B39" s="1">
        <v>7270437</v>
      </c>
      <c r="F39" t="s">
        <v>66</v>
      </c>
      <c r="G39" s="1">
        <v>9768248</v>
      </c>
    </row>
    <row r="40" spans="1:7" x14ac:dyDescent="0.3">
      <c r="A40" t="s">
        <v>35</v>
      </c>
      <c r="B40" s="1">
        <v>8886747</v>
      </c>
      <c r="F40" t="s">
        <v>39</v>
      </c>
      <c r="G40" s="1">
        <v>10289900</v>
      </c>
    </row>
    <row r="41" spans="1:7" x14ac:dyDescent="0.3">
      <c r="A41" t="s">
        <v>89</v>
      </c>
      <c r="B41" s="1">
        <v>9535030</v>
      </c>
      <c r="F41" t="s">
        <v>85</v>
      </c>
      <c r="G41" s="1">
        <v>8487481</v>
      </c>
    </row>
    <row r="42" spans="1:7" x14ac:dyDescent="0.3">
      <c r="A42" t="s">
        <v>102</v>
      </c>
      <c r="B42" s="1">
        <v>7397476</v>
      </c>
      <c r="F42" t="s">
        <v>125</v>
      </c>
      <c r="G42" s="1">
        <v>8442177</v>
      </c>
    </row>
    <row r="43" spans="1:7" x14ac:dyDescent="0.3">
      <c r="A43" t="s">
        <v>116</v>
      </c>
      <c r="B43" s="1">
        <v>9238947</v>
      </c>
      <c r="F43" t="s">
        <v>117</v>
      </c>
      <c r="G43" s="1">
        <v>5685679</v>
      </c>
    </row>
    <row r="44" spans="1:7" x14ac:dyDescent="0.3">
      <c r="A44" t="s">
        <v>1573</v>
      </c>
      <c r="B44" s="1">
        <v>71178664</v>
      </c>
      <c r="F44" t="s">
        <v>1573</v>
      </c>
      <c r="G44" s="1">
        <v>71178664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C595F-9944-43EA-996F-63F50225BB93}">
  <sheetPr codeName="Sheet2"/>
  <dimension ref="A11:E200"/>
  <sheetViews>
    <sheetView showGridLines="0" tabSelected="1" zoomScale="70" zoomScaleNormal="70" workbookViewId="0">
      <selection activeCell="T42" sqref="T42"/>
    </sheetView>
  </sheetViews>
  <sheetFormatPr defaultRowHeight="13.5" customHeight="1" x14ac:dyDescent="0.3"/>
  <cols>
    <col min="1" max="18" width="9" style="3" customWidth="1"/>
    <col min="19" max="19" width="1.109375" style="3" customWidth="1"/>
    <col min="20" max="22" width="9" style="3" customWidth="1"/>
    <col min="23" max="16384" width="8.88671875" style="3"/>
  </cols>
  <sheetData>
    <row r="11" ht="13.5" hidden="1" customHeight="1" x14ac:dyDescent="0.3"/>
    <row r="200" spans="1:5" ht="13.5" hidden="1" customHeight="1" x14ac:dyDescent="0.3">
      <c r="A200" s="4">
        <f>Pivot!L5</f>
        <v>71178664</v>
      </c>
      <c r="B200" s="4">
        <f>Pivot!L6</f>
        <v>41693329</v>
      </c>
      <c r="C200" s="4">
        <f>Pivot!L7</f>
        <v>500</v>
      </c>
      <c r="D200" s="5">
        <f>Pivot!L8</f>
        <v>1.7071955084229422</v>
      </c>
      <c r="E200" s="4">
        <f>Pivot!L9</f>
        <v>2716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PRAKHAR SRIVASTAV</cp:lastModifiedBy>
  <dcterms:created xsi:type="dcterms:W3CDTF">2026-05-08T06:02:11Z</dcterms:created>
  <dcterms:modified xsi:type="dcterms:W3CDTF">2026-08-19T15:08:16Z</dcterms:modified>
</cp:coreProperties>
</file>